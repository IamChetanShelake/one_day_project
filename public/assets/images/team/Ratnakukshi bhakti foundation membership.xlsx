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to1-my.sharepoint.com/personal/admin_jeap_jito_org/Documents/"/>
    </mc:Choice>
  </mc:AlternateContent>
  <xr:revisionPtr revIDLastSave="376" documentId="8_{6F7DA976-6055-4B19-B69A-348007500B52}" xr6:coauthVersionLast="47" xr6:coauthVersionMax="47" xr10:uidLastSave="{B6F9C0A5-A753-40C6-8B46-C10EE4CD87B8}"/>
  <bookViews>
    <workbookView xWindow="-108" yWindow="-108" windowWidth="23256" windowHeight="12456" xr2:uid="{EDB4C215-F4F9-4FD4-87A1-AB22C561E16C}"/>
  </bookViews>
  <sheets>
    <sheet name="master-27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9" i="5" l="1"/>
  <c r="BW10" i="5"/>
  <c r="BW11" i="5"/>
  <c r="BW12" i="5"/>
  <c r="BW13" i="5"/>
  <c r="BW14" i="5"/>
  <c r="BW15" i="5"/>
  <c r="BW16" i="5"/>
  <c r="BW17" i="5"/>
  <c r="BW18" i="5"/>
  <c r="BW19" i="5"/>
  <c r="BW20" i="5"/>
  <c r="BW21" i="5"/>
  <c r="BW22" i="5"/>
  <c r="BW23" i="5"/>
  <c r="BW24" i="5"/>
  <c r="BW25" i="5"/>
  <c r="BW28" i="5"/>
  <c r="BW29" i="5"/>
  <c r="BW8" i="5"/>
  <c r="BW5" i="5"/>
  <c r="BW6" i="5"/>
  <c r="BW7" i="5"/>
  <c r="BW3" i="5"/>
  <c r="BW4" i="5"/>
  <c r="BW2" i="5"/>
  <c r="BX29" i="5"/>
  <c r="BX28" i="5"/>
  <c r="BX25" i="5"/>
  <c r="BX24" i="5"/>
  <c r="BX23" i="5"/>
  <c r="BX22" i="5"/>
  <c r="BX21" i="5"/>
  <c r="BX20" i="5"/>
  <c r="BX19" i="5"/>
  <c r="BX18" i="5"/>
  <c r="BX17" i="5"/>
  <c r="BX16" i="5"/>
  <c r="BX15" i="5"/>
  <c r="BX14" i="5"/>
  <c r="BX13" i="5"/>
  <c r="BX12" i="5"/>
  <c r="BX11" i="5"/>
  <c r="BX10" i="5"/>
  <c r="BX9" i="5"/>
  <c r="BX7" i="5"/>
  <c r="BX6" i="5"/>
  <c r="BX5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8" i="5" s="1"/>
  <c r="A29" i="5" s="1"/>
  <c r="A30" i="5" s="1"/>
  <c r="A31" i="5" s="1"/>
  <c r="A32" i="5" s="1"/>
  <c r="A33" i="5" s="1"/>
  <c r="A34" i="5" s="1"/>
  <c r="A35" i="5" s="1"/>
  <c r="A36" i="5" s="1"/>
</calcChain>
</file>

<file path=xl/sharedStrings.xml><?xml version="1.0" encoding="utf-8"?>
<sst xmlns="http://schemas.openxmlformats.org/spreadsheetml/2006/main" count="1622" uniqueCount="555">
  <si>
    <t>Sr. No.</t>
  </si>
  <si>
    <t>Name</t>
  </si>
  <si>
    <t>RESIDENCE ADDRESS</t>
  </si>
  <si>
    <t>COMMUNICATION ADDRESS</t>
  </si>
  <si>
    <t>COMMUNICATION ADDRESS 1</t>
  </si>
  <si>
    <t>COMMUNICATION ADDRESS 2</t>
  </si>
  <si>
    <t>Mobile No 1</t>
  </si>
  <si>
    <t>E Mail ID</t>
  </si>
  <si>
    <t>DATE FUND RECEIVED</t>
  </si>
  <si>
    <t>1st Installment Amount</t>
  </si>
  <si>
    <t>ASSISTANT MOBILE NUMBER</t>
  </si>
  <si>
    <t>DOCUMENTS (FINAL REMARKS)</t>
  </si>
  <si>
    <t>PENDING DOCUMENTS LIST</t>
  </si>
  <si>
    <t xml:space="preserve">BIRTHDATE </t>
  </si>
  <si>
    <t>ANNIVERSARY DATE</t>
  </si>
  <si>
    <t>BIRTHDAY MONTH</t>
  </si>
  <si>
    <t>ANNIVERSARY MONTH</t>
  </si>
  <si>
    <t>Spouse Name</t>
  </si>
  <si>
    <t>Company Name</t>
  </si>
  <si>
    <t>LINK FOR WHATSAPP CARD</t>
  </si>
  <si>
    <t>Prithviraj Saremal Kothari</t>
  </si>
  <si>
    <t>U01105</t>
  </si>
  <si>
    <t>PRITHVIRAJ KOTHARI, AUGMONT ENTERPRISES PRIVATE LIMITED, 201, A/B AND 203, 2ND FLOOR, TRADE WORLD , D WING, KAMALA MILLS COMPOUND, S. B. MARG, LOWER PAREL(W), MUMBAI - 400013</t>
  </si>
  <si>
    <t>PRITHVIRAJ KOTHARI, 1201, IMPERIAL TOWERS , SOUTH, BB NAKASHE MARG, M.P. MILL COMPOUND, TARDEO, MUMBAI - 400034, CONTACT NUMBER - 022-61245506</t>
  </si>
  <si>
    <t>Mumbai-Gowalia Tank</t>
  </si>
  <si>
    <t>Mumbai</t>
  </si>
  <si>
    <t>pkothari@rsbl.co.in</t>
  </si>
  <si>
    <t>-</t>
  </si>
  <si>
    <t>SEPTEMBER</t>
  </si>
  <si>
    <t>FEBRUARY</t>
  </si>
  <si>
    <t>https://wa.me/+91</t>
  </si>
  <si>
    <t>Manoj  Maganlal Mehta</t>
  </si>
  <si>
    <t>U01590</t>
  </si>
  <si>
    <t>Mumbai-Juhu</t>
  </si>
  <si>
    <t>mehtamanoj@mtcgroup.in</t>
  </si>
  <si>
    <t>HETAL - 022 6787 2900,9145377522 - HETAL</t>
  </si>
  <si>
    <t>MAY</t>
  </si>
  <si>
    <t>DECEMBER</t>
  </si>
  <si>
    <t>Uttam Keshrimal Jain</t>
  </si>
  <si>
    <t>U00959</t>
  </si>
  <si>
    <t>Uttam Jain, Neon Laboratories Limited, Damji Shamji Industrial Complex, 28, Mahal Industrial Estate, Mahakali Caves Road, Andheri East, Mumbai - 400093</t>
  </si>
  <si>
    <t>SHRI UTTAM JAIN, UTTRANCHAL BIOTECH LIMITED, 30, AB GOVERNMENT INDUSTRIAL ESTATE, CHARKOP NAKA, NEAR IPCA AND CAPSULE AUTO STAND, KANDIVALI WEST, MUMBAI - 400067</t>
  </si>
  <si>
    <t>SHRI UTTAM KESHRIMAL JAIN,2005, KENT GARDEN ,T.P.S ROAD, BORIVALI WEST, MUMBAI -400092</t>
  </si>
  <si>
    <t>Mumbai-Goregaon</t>
  </si>
  <si>
    <t>uttamjain@neongroup.com; dayanand@neongroup.com</t>
  </si>
  <si>
    <t>DAYANAND - 9821214793, 8291259005</t>
  </si>
  <si>
    <t>APRIL</t>
  </si>
  <si>
    <t>Hitesh Chimanlal Doshi</t>
  </si>
  <si>
    <t>U00979</t>
  </si>
  <si>
    <t>hiteshdoshi@waaree.com</t>
  </si>
  <si>
    <t>U00957</t>
  </si>
  <si>
    <t>Pradeep Rathod, Cello House, Corporate Avenue, B Wing, Second Floor, Sonawala Road, Goregaon East, Mumbai - 400063, Contact - Amit Chauhan - 9819067733</t>
  </si>
  <si>
    <t>Corporate Avenue, B wing, Cello House, Near Mewad Bhawan , Sonawala lane, Goregaon - East , MUMBAI - 400063</t>
  </si>
  <si>
    <t>9820181219 ; 9920181219</t>
  </si>
  <si>
    <t>pgr@celloworld.com ; amit.chauhan@celloworld.com</t>
  </si>
  <si>
    <t>JANUARY</t>
  </si>
  <si>
    <t>Sangeeta Rathod</t>
  </si>
  <si>
    <t>Cello Group</t>
  </si>
  <si>
    <t>Gaurav  Pradeep Rathod</t>
  </si>
  <si>
    <t>U15411</t>
  </si>
  <si>
    <t>Gaurav  Pradeep Rathod, Cello House ,Corporate Avenue B-Wing Sonawala Lane Near Mewad Bhawan Goregoan East,Mumbai, Pin 400064, 9819067733</t>
  </si>
  <si>
    <t>gaurav.rathod@celloworld.com</t>
  </si>
  <si>
    <t>Ahmedabad</t>
  </si>
  <si>
    <t>Gujarat</t>
  </si>
  <si>
    <t>Vikram  Jain</t>
  </si>
  <si>
    <t>U02025</t>
  </si>
  <si>
    <t>Vikram Jain , Sperrylast Limited, Plot Number 16, Udyog Vihar, Greater Noida, Uttar Pradesh ,Pin Code 201306, Mobile - 9999230169</t>
  </si>
  <si>
    <t>New Delhi</t>
  </si>
  <si>
    <t>North</t>
  </si>
  <si>
    <t>vjain@sperryplast.com; rshukla@sperryplast.com</t>
  </si>
  <si>
    <t>OCTOBER</t>
  </si>
  <si>
    <t>SPERRY PLAST LIMITED</t>
  </si>
  <si>
    <t>Sunil  Kathotia</t>
  </si>
  <si>
    <t>U02698</t>
  </si>
  <si>
    <t>Guwahati</t>
  </si>
  <si>
    <t>East</t>
  </si>
  <si>
    <t>sunil@frontier.in.net</t>
  </si>
  <si>
    <t>Priyanka Sunil Kathotia Jeap Donor Assistant Chanda
+91 70990 93475</t>
  </si>
  <si>
    <t>vinoddugar@rdbindia.com</t>
  </si>
  <si>
    <t>NOVEMBER</t>
  </si>
  <si>
    <t>Sukhraj Babulal  Nahar</t>
  </si>
  <si>
    <t>U02513</t>
  </si>
  <si>
    <t>Sukhraj B. Nahar, Nahar Builders Ltd., B-1 Mahalaxmi Chambers, 22 Bhulabhai Desai Road, Mumbai 400026</t>
  </si>
  <si>
    <t>Mumbai-Walkeshwar</t>
  </si>
  <si>
    <t>sbnahar@nahargroup.co.in</t>
  </si>
  <si>
    <t>Manish Sukhrajji Office - 9328264711</t>
  </si>
  <si>
    <t>Jigish  Doshi</t>
  </si>
  <si>
    <t>U00030</t>
  </si>
  <si>
    <t>Jigish Doshi, Vishakha House, Ashirwad Paras Corporate House, Near Riviera Elegance Corporate Road, Pralhad Nagar, Ahmedabad - 380015, Contact - 7961907373</t>
  </si>
  <si>
    <t>jigishdoshi@vishakha.com</t>
  </si>
  <si>
    <t>chandresh@vishakhapolyfab.com ; nidhi.gadhecha@vishakha.com</t>
  </si>
  <si>
    <t>VISHAKHA GROUP OF INDUSTRIES</t>
  </si>
  <si>
    <t>Subhash Suganlal Runwal</t>
  </si>
  <si>
    <t>U01036</t>
  </si>
  <si>
    <t>RUNWAL AND OMKAR ESQUARE, 5TH FLOOR , EASTERN EXPRESS HIGHWAY , OPP. SION CHUNABHATTI SIGNAL , SION (E), MUMBAI - 400022</t>
  </si>
  <si>
    <t>Mumbai-Ghatkopar</t>
  </si>
  <si>
    <t>ssrunwal@runwal.com</t>
  </si>
  <si>
    <t>SUBHASH RUNWAL OFFICE - 022-61133189</t>
  </si>
  <si>
    <t>JULY</t>
  </si>
  <si>
    <t>REAL ESTATE &amp; DEVELOPERS</t>
  </si>
  <si>
    <t>Doulat  Jain</t>
  </si>
  <si>
    <t>U00758</t>
  </si>
  <si>
    <t>Doulat Jain,J. G. Impex Pvt. Ltd.55 Narayan Mudali Street,  Sowcarpet, Chennai 600079 44 66773333</t>
  </si>
  <si>
    <t>J. S EXIM PRIVATE LIMITED, NO. 55, NARAYANA MURLI STREET, SOWCARPET, CHENNAI - 600079, MOBILE NUMBER - 8072199980</t>
  </si>
  <si>
    <t>DOULAT JAIN, NO. 11/2 COLLEGE ROAD, NUNGAMBAKKAM, CHENNAI - 600006, DARPAN CA- 9789948809; PHONE NUMBER - 9840277772</t>
  </si>
  <si>
    <t>Chennai</t>
  </si>
  <si>
    <t>TNAPTS</t>
  </si>
  <si>
    <t>doulatjain@yahoo.co.in</t>
  </si>
  <si>
    <t>U02715</t>
  </si>
  <si>
    <t>Gaurav Sanghvi, D-107, Ashirwad Palace, Bh Jivkor Nagar, Bhatar, Surat, 395001</t>
  </si>
  <si>
    <t>GAURAV SINGHVI , AMIT SHAH, 3RD FLOOR, THE FINANCIAL SUPERMARKET, BEHIND RUSHABH PETROL PUMP, NEAR SINGAPURI NI WADI, RING ROAD , SURAT, GUJARATA - 395002</t>
  </si>
  <si>
    <t>consultsinghvi@yahoo.com ; gs@financialsupermarket.in</t>
  </si>
  <si>
    <t>Amit Shah - 9978904600</t>
  </si>
  <si>
    <t>Gaurav  Vk Singhvi(Surat)</t>
  </si>
  <si>
    <t>Ramesh Kumar  Haran</t>
  </si>
  <si>
    <t>U00217</t>
  </si>
  <si>
    <t>RAMESH KUMAR HARAN, RAJARAJESHWARE BUILDCON PRIVATE LIMITED, 67/1, SRI RANGA, NETTAKALLAPPA CIRCLE, BASAVANAGUDI, BANGALORE , PINCODE - 560004, rrbc554@gmail.com</t>
  </si>
  <si>
    <t xml:space="preserve"> RAMESH KUMAR HARAN,N V AUTOMBILES,#12,ARCHANA COMPLEX, J.C. ROAD, BENGALURU- 560002</t>
  </si>
  <si>
    <t>KKG</t>
  </si>
  <si>
    <t>nvautomobiles@yahoo.com</t>
  </si>
  <si>
    <t>Suresh Futarmal Jain</t>
  </si>
  <si>
    <t>U13511</t>
  </si>
  <si>
    <t>Suresh Futermal Jain, The World Towers World View, C5301-5302, Off Senapati Bapat Marg, Lower Parel, Mumbai 400013</t>
  </si>
  <si>
    <t>SURESH FUTERMAL JAIN, ROYAL CHAINS PRIVATE LIMITED, 203-205, BHARAT INDUSTRIAL ESTATE, T J ROAD, SEWRI WEST, MUMBAI - 400015</t>
  </si>
  <si>
    <t>119, BHARAT INDUSTRIAL ESTATE, T.J ROAD, SEWRI, MUMBAI - 400015, MOBILE NUMBER - 7506312808</t>
  </si>
  <si>
    <t>suresh@royalchains.com</t>
  </si>
  <si>
    <t>Royal Chains Private Limited</t>
  </si>
  <si>
    <t>https://wa.me/+919821244211</t>
  </si>
  <si>
    <t>Dilip Chunilal Chandan</t>
  </si>
  <si>
    <t>U03541</t>
  </si>
  <si>
    <t>Dilip Chandan, Chandan Steel Limited,504, Sukh Sagar, N S Patkar Marg, Chowpatty ,Mumbai -400007 ,022- 66290600</t>
  </si>
  <si>
    <t>dilip@chandansteel.net</t>
  </si>
  <si>
    <t>CHANDAN STEEL LIMITED</t>
  </si>
  <si>
    <t>Sheetal   Dugar</t>
  </si>
  <si>
    <t>SHEETAL DUGAR, AAKANSHI AGENCY PVT. LIMITED, 1, RAMESH MITRA ROAD, 3RD FLOOR, KOLKATA, PINCODE - 700025, PHONE - 8100465325</t>
  </si>
  <si>
    <t>Kolkata</t>
  </si>
  <si>
    <t>JUNE</t>
  </si>
  <si>
    <t>Saurabh Hemraj Bora</t>
  </si>
  <si>
    <t>U01606</t>
  </si>
  <si>
    <t>shbora@rediffmail.com </t>
  </si>
  <si>
    <t xml:space="preserve"> Rakhi- Saurabh Bora - 98213 38807;2223452937</t>
  </si>
  <si>
    <t>Vijay Bandulal  Bhandari</t>
  </si>
  <si>
    <t>U02123</t>
  </si>
  <si>
    <t>Vijay Bhandari, "Bhandari House", 1140 Raviwar Peth, Govind Halwai Chowk, Pune - 411002, 020-24473981</t>
  </si>
  <si>
    <t>Pune</t>
  </si>
  <si>
    <t>ROM</t>
  </si>
  <si>
    <t>vbhandari888@gmail.com</t>
  </si>
  <si>
    <t xml:space="preserve">8698483958 - ANITA </t>
  </si>
  <si>
    <t>B.J. BHANDARI PAPERS PRIVATE LIMITED</t>
  </si>
  <si>
    <t>Vinay Kumar Jain</t>
  </si>
  <si>
    <t>U04894</t>
  </si>
  <si>
    <t>Vinay Kumar Jain, D-940, New Friends Colony, New Delhi - 110025</t>
  </si>
  <si>
    <t>MLM INDIA LIMITED, 234, CHAWRI BAZAR, DELHI - 110006, MOB: 9999341480</t>
  </si>
  <si>
    <t>vinaymlm@gmail.com</t>
  </si>
  <si>
    <t>MLM INDIA LIMITED</t>
  </si>
  <si>
    <t>Pradeep Anandraj  Singhi</t>
  </si>
  <si>
    <t>U02355</t>
  </si>
  <si>
    <t>Pradeep Anandrajji Singhi, Pradeep Singhi &amp; Associates, B-801 Rajhans Maxima, Near Raghuramji Party Plot, Umra, Surat 395007</t>
  </si>
  <si>
    <t>PRADEEP SINGHI AN DASSOCIATES, A-501, PRESIDENT PLAZA, NEAR R.T.O OFFICE, RING ROAD, SURAT - 395002</t>
  </si>
  <si>
    <t>Surat</t>
  </si>
  <si>
    <t>9824050910; 9998543750</t>
  </si>
  <si>
    <t>psinghi@pradeepsinghi.com</t>
  </si>
  <si>
    <t>call vipul for all queries - 9998543750</t>
  </si>
  <si>
    <t>Ashok Mangilal Mehta</t>
  </si>
  <si>
    <t>U01072</t>
  </si>
  <si>
    <t>Flat 33-B, Seagull Apartment, 4-A Bhulabhai Desai Road, Haji Ali, Mumbai-400021</t>
  </si>
  <si>
    <t>Ashok Mehta ,Mehta Group Of Companies,403, Gundecha Chamber,  Nm Road, Fort ,Mumbai 400023 ;22 226706324/875</t>
  </si>
  <si>
    <t>ashokmehtaa@gmail.com</t>
  </si>
  <si>
    <t>MARCH</t>
  </si>
  <si>
    <t>Lalit Kumar Dangi</t>
  </si>
  <si>
    <t>U01588</t>
  </si>
  <si>
    <t>Lalit Kumar Dangi, 201, Shubh Aangan, Plot No 27, North South Road No 5, Jvpd Scheme, Vile Parle West ,Mumbai  -400056</t>
  </si>
  <si>
    <t>LALIT DANGI, 104, M.K.BHAVAN, 300, SHAHID BHAGAT SINGH ROAD, FORT, MUMBAI - 400001</t>
  </si>
  <si>
    <t>lalit@libord.com</t>
  </si>
  <si>
    <t>Paras  Devraj Gundecha</t>
  </si>
  <si>
    <t>U01596</t>
  </si>
  <si>
    <t>paras@gundechabuilders.com</t>
  </si>
  <si>
    <t>022-67319500</t>
  </si>
  <si>
    <t>GUNDECHA BUILDERS PRIVATE LIMITED</t>
  </si>
  <si>
    <t>Himanshu J Shah</t>
  </si>
  <si>
    <t>U00008</t>
  </si>
  <si>
    <t>Himanshu Shah,Monarch Projects &amp; Finmarket Ltd,Monarch House, Opp Ishwar Bhuvan,Commerce Six Road, Navrangpura, Ahmedabad -  380009,79- 26409272/26409274/40005252/40005255</t>
  </si>
  <si>
    <t>HIMANSHU SHAH, MONARCH NETWORTH CAPITAL LIMITED, "MONARCH HOUSE",OPPOSITE PRAHLADBHAI PATEL GARDEN, NEAR ISHWAR BHAVAN, COMMERCE SIX ROAD, NAVRANGPURA, AHMEDABAD-380009, TELEPHONE - 079-2666578/563,Email id - prashant.shah@mnclgroup.com</t>
  </si>
  <si>
    <t>9825030388; 9821054249</t>
  </si>
  <si>
    <t>himanshu@mnclgroup.com</t>
  </si>
  <si>
    <t xml:space="preserve"> 9925153132 - PRAVIN; HIMANGI PATEL - 079-2666578; himangi.patel@mnclgroup.com</t>
  </si>
  <si>
    <t>4th Installment Amount</t>
  </si>
  <si>
    <t>3rd Installment Amount</t>
  </si>
  <si>
    <t>2nd Installment Amount</t>
  </si>
  <si>
    <t>GRAND TOTAL AMOUNT RECEIVED</t>
  </si>
  <si>
    <t>GRAND TOTAL AMOUNT PENDING</t>
  </si>
  <si>
    <t>Amount received from</t>
  </si>
  <si>
    <t>CA Hitesh Mehta</t>
  </si>
  <si>
    <t>Prakashbhai Sanghvi</t>
  </si>
  <si>
    <t>Dr. Jaswant Modi Family (USA) – 9 Members</t>
  </si>
  <si>
    <t>Manish A. Mehta (Nagpur)</t>
  </si>
  <si>
    <t>Jayeshbhai Jain (GM)</t>
  </si>
  <si>
    <t>CA Manish Jain</t>
  </si>
  <si>
    <t>Dharmapremi Pariwar (Alpeshbhai)</t>
  </si>
  <si>
    <t>MM CERAMIC AND FERRO ALLOYS</t>
  </si>
  <si>
    <t>NEON LABORATORIES LIMITED</t>
  </si>
  <si>
    <t>Ganpatraj L Chowdhary</t>
  </si>
  <si>
    <t>U00003</t>
  </si>
  <si>
    <t>Ganpatraj Chowdhary,10,Abhishree Corporate Park Road, Near Swagat Bunglow, Ambli Bopa, Ahemdabad- 380058</t>
  </si>
  <si>
    <t>GANPATRAJ CHOWDHARY, RIDDHI SIDDHI GLUCO BIOLS LIMITED, 10,ABHISHREE CORPORATE PARK, NEAR SWAGAT BUNGALOW, BRTS BUS STAND, AMBALI-BOPAL ROAD, AHMEDABAD , PINCODE - 380058</t>
  </si>
  <si>
    <t>ganpat@riddhisiddhi.co.in</t>
  </si>
  <si>
    <t>Rajuldevi Chowdhary</t>
  </si>
  <si>
    <t>Riddhi Siddhi Gluco Biols Ltd</t>
  </si>
  <si>
    <t>Pradeep Ghisulal Rathod</t>
  </si>
  <si>
    <t>Prithviraj S. Kothari, Riddhi Siddhi Bullions Limited, 5 Abc, 5Th Floor, Trishala Premises Chs, 122 Shaikh Menon Street, Javeri Bazar, Mumbai 400002</t>
  </si>
  <si>
    <t>Manoj Mehta, Mtc Business Pvt. Ltd., 401/404 Navkar Commercial Complex, Opp. Andheri Court, Court Lane, Sir M. V. Road, Andheri East, Mumbai 400069</t>
  </si>
  <si>
    <t>Hitesh Doshi,Commerz 2, 11Th Floor, Oberoi Garden City, International Business Park,Yashodham, Goregaon , Mumbai - 400063, Contact - Ravindra Dulgach - 8655479525</t>
  </si>
  <si>
    <t>Sunil Kathotia, Frontier Sales Corporation, 3Rd Floor, Temple Tower, Opp News Live Christian Basti, Guwahati 781005, Assam</t>
  </si>
  <si>
    <t>Subhash S. Runwal, Runwal Group, Runwal &amp; Omkar Esquare, 6Th Floor, Eastern Express Highway, Opp. Sion-Chunabhatti Signal, Sion East, Mumbai 400022</t>
  </si>
  <si>
    <t>Ramesh Kumar Haran, 46 Sb Road, Vv Puram, Bengaluru 560004</t>
  </si>
  <si>
    <t>Smt. Sheetal Dugar, Rdb Group, Bikaner Building, 8/ 1 ,Lal Bazar Street, 1St Floor, Room Number 11, West Bengal, Kolkata, Pin Code - 700001</t>
  </si>
  <si>
    <t>Saurabh H Bora, 61/62 Gaya Bldg, 4Th Floor, 109 Ym Road, Masjid Bander (W), Mumbai 400003</t>
  </si>
  <si>
    <t>Paras Gundecha, Gundecha Group Of Companies, 801 Hub Town Solaris, N. S. Phadke Marg, Off Teli Galli, Andheri East, Mumbai 400069</t>
  </si>
  <si>
    <t>RIDDHI SIDDHI GLUCO BIOLS LIMITED</t>
  </si>
  <si>
    <t>Chapter Name</t>
  </si>
  <si>
    <t>Zone</t>
  </si>
  <si>
    <t>Title</t>
  </si>
  <si>
    <t>Member's Gender</t>
  </si>
  <si>
    <t>Residence Address 1</t>
  </si>
  <si>
    <t>Residence Address 2</t>
  </si>
  <si>
    <t>Residence Address 3</t>
  </si>
  <si>
    <t>Residence_City</t>
  </si>
  <si>
    <t>Residence_City_New</t>
  </si>
  <si>
    <t>Residence_Pin code</t>
  </si>
  <si>
    <t>Residence_Address</t>
  </si>
  <si>
    <t>Residence_Contact Number Code:</t>
  </si>
  <si>
    <t>Residence_Contact Number :</t>
  </si>
  <si>
    <t>Residence Proof</t>
  </si>
  <si>
    <t>Residence Proof No</t>
  </si>
  <si>
    <t>Preferred Address For Commutation</t>
  </si>
  <si>
    <t>Member PAN Card</t>
  </si>
  <si>
    <t>Member Blood Group</t>
  </si>
  <si>
    <t>Mother tongue</t>
  </si>
  <si>
    <t>Native Place</t>
  </si>
  <si>
    <t>Father Name</t>
  </si>
  <si>
    <t>Spouse Date Of Birth</t>
  </si>
  <si>
    <t>Spouse Blood Group</t>
  </si>
  <si>
    <t xml:space="preserve">Children 1 Name </t>
  </si>
  <si>
    <t>Children 1 M/F</t>
  </si>
  <si>
    <t>Children 1DOB</t>
  </si>
  <si>
    <t>Children 1 Marital Status</t>
  </si>
  <si>
    <t>Children 1 Blood Group</t>
  </si>
  <si>
    <t xml:space="preserve">Children 2 Name </t>
  </si>
  <si>
    <t>Children 2 M/F</t>
  </si>
  <si>
    <t>Children 2DOB</t>
  </si>
  <si>
    <t>Children 2 Marital Status</t>
  </si>
  <si>
    <t>Children 2 Blood Group</t>
  </si>
  <si>
    <t xml:space="preserve">Children 3 Name </t>
  </si>
  <si>
    <t>Children 3 M/F</t>
  </si>
  <si>
    <t>Children 3DOB</t>
  </si>
  <si>
    <t>Children 3 Marital Status</t>
  </si>
  <si>
    <t>Children 3 Blood Group</t>
  </si>
  <si>
    <t xml:space="preserve">Children 4 Name </t>
  </si>
  <si>
    <t>Children 4 M/F</t>
  </si>
  <si>
    <t>Children 4DOB</t>
  </si>
  <si>
    <t>Children 4 Marital Status</t>
  </si>
  <si>
    <t>Children 4 Blood Group</t>
  </si>
  <si>
    <t>Name Of Nominee</t>
  </si>
  <si>
    <t>Address of Nominee</t>
  </si>
  <si>
    <t>Nominee City</t>
  </si>
  <si>
    <t>Pincode of Nominee</t>
  </si>
  <si>
    <t>Relationship with member</t>
  </si>
  <si>
    <t>Name Of Company</t>
  </si>
  <si>
    <t>Office Address</t>
  </si>
  <si>
    <t>Office_Contact Number :</t>
  </si>
  <si>
    <t>Shri</t>
  </si>
  <si>
    <t>Male</t>
  </si>
  <si>
    <t>75-B Tardeo Road</t>
  </si>
  <si>
    <t>1502 Tardeo Tower</t>
  </si>
  <si>
    <t>Tardeo</t>
  </si>
  <si>
    <t>75-B Tardeo Road, 1502 Tardeo Tower, Tardeo, Mumbai-400034</t>
  </si>
  <si>
    <t>Office</t>
  </si>
  <si>
    <t>Kalavati P. Kothari</t>
  </si>
  <si>
    <t/>
  </si>
  <si>
    <t>Riddhi Siddhi Bullions Ltd</t>
  </si>
  <si>
    <t>115 Tambakatta,, Mumbadevi Road, Opp Dagina Bazar, Pydhonie, Mumbai-400003</t>
  </si>
  <si>
    <t>A-401/402</t>
  </si>
  <si>
    <t>Jay Shankar Krupa</t>
  </si>
  <si>
    <t>Old Nagardas Road, Andheri East</t>
  </si>
  <si>
    <t>A-401/402, Jay Shankar Krupa, Old Nagardas Road, Andheri East, Mumbai-400069</t>
  </si>
  <si>
    <t>O Positive</t>
  </si>
  <si>
    <t>Neeru Mehta</t>
  </si>
  <si>
    <t>O +ve</t>
  </si>
  <si>
    <t>Niharika Mehta</t>
  </si>
  <si>
    <t>Female</t>
  </si>
  <si>
    <t>Unmarried</t>
  </si>
  <si>
    <t>A +ve</t>
  </si>
  <si>
    <t>Mahek Mehta</t>
  </si>
  <si>
    <t>Single</t>
  </si>
  <si>
    <t>Naman Mehta</t>
  </si>
  <si>
    <t>Mtc Business Pvt. Ltd.</t>
  </si>
  <si>
    <t>401/404, Navkar Commercial Complex, Andheri E, , Mumbai-400069</t>
  </si>
  <si>
    <t>67872900/17</t>
  </si>
  <si>
    <t>2005, Kent Garden</t>
  </si>
  <si>
    <t>Tps Road</t>
  </si>
  <si>
    <t>Borivali-W</t>
  </si>
  <si>
    <t>2005, Kent Garden, Tps Road, Borivali-W, Mumbai-400092</t>
  </si>
  <si>
    <t>Chanchal Jain</t>
  </si>
  <si>
    <t>AB +ve</t>
  </si>
  <si>
    <t>Abhay Jain</t>
  </si>
  <si>
    <t>Married</t>
  </si>
  <si>
    <t>Ashok K. Jain</t>
  </si>
  <si>
    <t>504, Kent Garden, T.P.S. Road, Borivali W</t>
  </si>
  <si>
    <t>400 092</t>
  </si>
  <si>
    <t>Brother</t>
  </si>
  <si>
    <t>Neon Laboratories Ltd</t>
  </si>
  <si>
    <t>140, Damji Shamji Industrial Comlex, Mahakali Caves Road, Near Paper Box, Andheri-E, Mumbai-400093</t>
  </si>
  <si>
    <t>93/94, Mahagiri Chs</t>
  </si>
  <si>
    <t>Ashok Chakravarti Road</t>
  </si>
  <si>
    <t>Ashok Nagar, Kandivali East</t>
  </si>
  <si>
    <t>93/94, Mahagiri Chs, Ashok Chakravarti Road, Ashok Nagar, Kandivali East, Mumbai-400101</t>
  </si>
  <si>
    <t>Binita Doshi</t>
  </si>
  <si>
    <t>Ankit Doshi</t>
  </si>
  <si>
    <t>Chaitali Doshi</t>
  </si>
  <si>
    <t>Waree Energies Ltd</t>
  </si>
  <si>
    <t>602, Western Edge -1, Western Express Highway, Borivali East, Mumbai-400066</t>
  </si>
  <si>
    <t>120, Jawahar Nagar</t>
  </si>
  <si>
    <t>10Th Road,Near Jawahar Nagar Post Office</t>
  </si>
  <si>
    <t>Goregaon-W</t>
  </si>
  <si>
    <t>120, Jawahar Nagar, 10Th Road,Near Jawahar Nagar Post Office, Goregaon-W, Mumbai-400062</t>
  </si>
  <si>
    <t>Gaurav Rathod</t>
  </si>
  <si>
    <t>Karishma Rathod</t>
  </si>
  <si>
    <t>Cello International</t>
  </si>
  <si>
    <t>Cello House, Corporate Avenue, Sonawala Road, Next Udyog Bhavan, Goregaon -E, Mumbai-400063</t>
  </si>
  <si>
    <t>120- Jawahar Nagar</t>
  </si>
  <si>
    <t>10th Road Near Post Office</t>
  </si>
  <si>
    <t>Goregaon West</t>
  </si>
  <si>
    <t>120- Jawahar Nagar, 10Th Road Near Post Office, Goregaon West, Mumbai-400104</t>
  </si>
  <si>
    <t>Aadhar Card</t>
  </si>
  <si>
    <t>920960150767</t>
  </si>
  <si>
    <t>AAAPR5523P</t>
  </si>
  <si>
    <t>O+</t>
  </si>
  <si>
    <t>Marwadi</t>
  </si>
  <si>
    <t>Pradeep Ghisulalji Rathod</t>
  </si>
  <si>
    <t>Ruchi Gaurav Rathod</t>
  </si>
  <si>
    <t>B+</t>
  </si>
  <si>
    <t>Aryaveer</t>
  </si>
  <si>
    <t>Aveera</t>
  </si>
  <si>
    <t>Spouse</t>
  </si>
  <si>
    <t>Corporate Avenue B Wing, 6Th Floor Sonawala Lane, Goregaon East, Mumbai-400063</t>
  </si>
  <si>
    <t>022</t>
  </si>
  <si>
    <t>Rajul Villa</t>
  </si>
  <si>
    <t>Riddhi Siddhi</t>
  </si>
  <si>
    <t>Opp. Abhishree Corpoate Park, Ambli Bopal Road</t>
  </si>
  <si>
    <t>Rajul Villa, Riddhi Siddhi, Opp. Abhishree Corpoate Park, Ambli Bopal Road, Ahmedabad-380058</t>
  </si>
  <si>
    <t>B Positive</t>
  </si>
  <si>
    <t>Siddharth Chowdhary</t>
  </si>
  <si>
    <t>B +ve</t>
  </si>
  <si>
    <t>10, Abhishree Corporate Park,, Opp. Madhurya Restaurant,, Ambli-Bopal Road,, Ahmedabad-380058</t>
  </si>
  <si>
    <t>298600/601/602</t>
  </si>
  <si>
    <t>E-15,Jaypee Greens</t>
  </si>
  <si>
    <t>Near Kaberi Gate no.1</t>
  </si>
  <si>
    <t>Greater Noida U.P.</t>
  </si>
  <si>
    <t>Noida</t>
  </si>
  <si>
    <t>E-15,Jaypee Greens, Near Kaberi Gate No.1, Greater Noida U.P., Noida-201310</t>
  </si>
  <si>
    <t>Nayana Jain</t>
  </si>
  <si>
    <t>Shreyansh Jain</t>
  </si>
  <si>
    <t>Rishabh Jain</t>
  </si>
  <si>
    <t>Sperry Plast Ltd.</t>
  </si>
  <si>
    <t>Sperry Plast Limited, Plot No. 16,, Udyog Vihar, Greater Noida-201306</t>
  </si>
  <si>
    <t>5B Sohum Residency</t>
  </si>
  <si>
    <t>Sundarpur Zoo Road</t>
  </si>
  <si>
    <t>R G Baruah Road, Guwahati</t>
  </si>
  <si>
    <t>5B Sohum Residency, Sundarpur Zoo Road, R G Baruah Road, Guwahati, Kolkata-</t>
  </si>
  <si>
    <t>Seema Kathotia</t>
  </si>
  <si>
    <t>Sanyam</t>
  </si>
  <si>
    <t>Priyam</t>
  </si>
  <si>
    <t>Frontier Sales Corporation</t>
  </si>
  <si>
    <t>3Rd Floor, Temple, Opp News Live, Hristian Basti, Guwahati, Kolkata-781005</t>
  </si>
  <si>
    <t>101, 1st Floor, Nahar Panorama</t>
  </si>
  <si>
    <t>77 Walkeshwar</t>
  </si>
  <si>
    <t>101, 1St Floor, Nahar Panorama, 77 Walkeshwar, , Mumbai-400006</t>
  </si>
  <si>
    <t>A Positive</t>
  </si>
  <si>
    <t>Sohinidevi S. Nahar</t>
  </si>
  <si>
    <t>Dimple Nahar</t>
  </si>
  <si>
    <t>Sheetal Nahar</t>
  </si>
  <si>
    <t>Ajay Nahar</t>
  </si>
  <si>
    <t>PUJA NAHAR</t>
  </si>
  <si>
    <t>Nahar Builders Ltd</t>
  </si>
  <si>
    <t>B-1 Mahalaxmi Chambers, 22 Bhulabhai Desai Road, , Mumbai-400026</t>
  </si>
  <si>
    <t>6, Shrushti Bunglow,</t>
  </si>
  <si>
    <t>132 Ft Ring Road</t>
  </si>
  <si>
    <t>Nr Ashwamegh 4B Extn Satellite</t>
  </si>
  <si>
    <t>6, Shrushti Bunglow,, 132 Ft Ring Road, Nr Ashwamegh 4B Extn Satellite, Ahmedabad-380015</t>
  </si>
  <si>
    <t>Bhavna Doshi</t>
  </si>
  <si>
    <t>Vishakha Polycab Pvt Ltd</t>
  </si>
  <si>
    <t>Vishakha House,, Ashirwad Paras Corporate House, Nr Riviera Elegance Corporate Road, Pralhad Nagar, Ahmedabad-380015</t>
  </si>
  <si>
    <t>Marine Mansion</t>
  </si>
  <si>
    <t>6, B J Road,</t>
  </si>
  <si>
    <t>Bandra Band Stand, Bandra West</t>
  </si>
  <si>
    <t>Marine Mansion, 6, B J Road,, Bandra Band Stand, Bandra West, Mumbai-400050</t>
  </si>
  <si>
    <t>Chanda S. Runwal</t>
  </si>
  <si>
    <t>Runwal Group</t>
  </si>
  <si>
    <t>Runwal &amp; Omkar Esquare,, 5Th Floor, Eastern Express Highway, Opp. Sion – Chunabhatti Signal, - Sion (East), Mumbai-400022</t>
  </si>
  <si>
    <t>6113300 / 61133189</t>
  </si>
  <si>
    <t>Suraj-Kunj, Jain Residence, Kothari Bagh</t>
  </si>
  <si>
    <t>12, Uthamar Gandhi Road(Nungambakkam high road)</t>
  </si>
  <si>
    <t>Opp. Income Tax Office</t>
  </si>
  <si>
    <t>Suraj-Kunj, Jain Residence, Kothari Bagh, 12, Uthamar Gandhi Road(Nungambakkam High Road), Opp. Income Tax Office, Chennai-600034</t>
  </si>
  <si>
    <t>26400864/26433864</t>
  </si>
  <si>
    <t>Gulab Jain</t>
  </si>
  <si>
    <t>Richa Jain</t>
  </si>
  <si>
    <t>Rini Jain</t>
  </si>
  <si>
    <t>J. G. Impex Pvt. Ltd.</t>
  </si>
  <si>
    <t>55 Narayan Mudali Street, , Sowcarpet,, , Chennai-600079</t>
  </si>
  <si>
    <t>D-107, Ashirwad Palace</t>
  </si>
  <si>
    <t>Bh Jivkor Nagar</t>
  </si>
  <si>
    <t>Bhatar</t>
  </si>
  <si>
    <t>D-107, Ashirwad Palace, Bh Jivkor Nagar, Bhatar, Surat-395001</t>
  </si>
  <si>
    <t>Residence</t>
  </si>
  <si>
    <t>Dr. Nidhi G Singhvi</t>
  </si>
  <si>
    <t>Yash Singhvi</t>
  </si>
  <si>
    <t>Shaurya Singhvi</t>
  </si>
  <si>
    <t>The Financial Supermarket</t>
  </si>
  <si>
    <t>The Financial Supermarket Tower, Ring Road, , Surat-395002</t>
  </si>
  <si>
    <t>2331078 / 2322412</t>
  </si>
  <si>
    <t>Bangalore-South</t>
  </si>
  <si>
    <t>46, Sb Road</t>
  </si>
  <si>
    <t>Vv Puram</t>
  </si>
  <si>
    <t>Bengaluru</t>
  </si>
  <si>
    <t>46, Sb Road, , Vv Puram, Bengaluru-560004</t>
  </si>
  <si>
    <t>Smt. Sukhidevi Haran</t>
  </si>
  <si>
    <t>N V Automobiles</t>
  </si>
  <si>
    <t>12, Archana Comlex, (Old Bharath Talkies Bldg), Jc Road, Bangalore-560002</t>
  </si>
  <si>
    <t>Mumbai-Midtown</t>
  </si>
  <si>
    <t>2101, 21ST FLOOR A WING</t>
  </si>
  <si>
    <t>VARDHAMAN HEIGHT TB KADAM</t>
  </si>
  <si>
    <t>MARG BYCULLA</t>
  </si>
  <si>
    <t>MUMBAI</t>
  </si>
  <si>
    <t>2101, 21St Floor A Wing, Vardhaman Height Tb Kadam, Marg Byculla, Mumbai-400033</t>
  </si>
  <si>
    <t>5</t>
  </si>
  <si>
    <t>962984160168</t>
  </si>
  <si>
    <t>AAEPJ7728G</t>
  </si>
  <si>
    <t>SHEELA JAIN</t>
  </si>
  <si>
    <t>, , , -</t>
  </si>
  <si>
    <t>121 Infinity Tower</t>
  </si>
  <si>
    <t>Narayan Dabholkar Road</t>
  </si>
  <si>
    <t>Nepensea Road</t>
  </si>
  <si>
    <t>121 Infinity Tower, Narayan Dabholkar Road, Nepensea Road, Mumbai-400006</t>
  </si>
  <si>
    <t>Elec. Bill</t>
  </si>
  <si>
    <t>463701012-2</t>
  </si>
  <si>
    <t>Urmila Chandan</t>
  </si>
  <si>
    <t>Chirag</t>
  </si>
  <si>
    <t xml:space="preserve">Chaitanya </t>
  </si>
  <si>
    <t>Riddhi</t>
  </si>
  <si>
    <t>Chandan Steel Limited</t>
  </si>
  <si>
    <t>504 Sukh Sagar, N S Parkar Marg, , Mumbai-400007</t>
  </si>
  <si>
    <t>Regent Kusum Bunglow</t>
  </si>
  <si>
    <t>16-A, Dover Road,Baliganj</t>
  </si>
  <si>
    <t>Regent Kusum Bunglow, 16-A, Dover Road,Baliganj, , Kolkata-700019</t>
  </si>
  <si>
    <t>Yashshwi Dugar</t>
  </si>
  <si>
    <t>Manaswi Dugar</t>
  </si>
  <si>
    <t>B - ve</t>
  </si>
  <si>
    <t>Suhasini Dugar</t>
  </si>
  <si>
    <t>Rdb Group</t>
  </si>
  <si>
    <t>Bikaner Building, 8/1 Lalbazar Street, 1St Floor, Room 10, Kolkata-700001</t>
  </si>
  <si>
    <t>7 th floor , Kutch house ,</t>
  </si>
  <si>
    <t>58, Jaihind Society, Near Suburban Diagnostics,</t>
  </si>
  <si>
    <t>Mehmood chowk, 10 th road , JVPD scheme, Juhu,</t>
  </si>
  <si>
    <t>7 Th Floor , Kutch House ,, 58, Jaihind Society, Near Suburban Diagnostics,, Mehmood Chowk, 10 Th Road , Jvpd Scheme, Juhu,, Mumbai-400049</t>
  </si>
  <si>
    <t>26162833/44</t>
  </si>
  <si>
    <t>Rakhi Trading Pvt Ltd</t>
  </si>
  <si>
    <t>71, Bajaj Bhavan ,, Opp Inox And Vidhan Bhavan,, Nariman Point,, Mumbai-400021</t>
  </si>
  <si>
    <t>23452937/38</t>
  </si>
  <si>
    <t>17, Akansdarshan Society</t>
  </si>
  <si>
    <t>Vardawan Banglow</t>
  </si>
  <si>
    <t>Salisbury Park, Nr Lodha Corner</t>
  </si>
  <si>
    <t>17, Akansdarshan Society, Vardawan Banglow, Salisbury Park, Nr Lodha Corner, Pune-411037</t>
  </si>
  <si>
    <t>2426930/31</t>
  </si>
  <si>
    <t>B. J. Bhandari Pvt. Ltd.</t>
  </si>
  <si>
    <t>1140, Raviwar Peth, , Pune-411002</t>
  </si>
  <si>
    <t>24473981/1916</t>
  </si>
  <si>
    <t>D-940, New Friends Colony</t>
  </si>
  <si>
    <t>D-940, New Friends Colony, , , New Delhi-110025</t>
  </si>
  <si>
    <t>8927 6428 9963</t>
  </si>
  <si>
    <t>Meenakshi Jain</t>
  </si>
  <si>
    <t>Chirag Jain</t>
  </si>
  <si>
    <t>Siddharth Jain</t>
  </si>
  <si>
    <t>M L M India Ltd</t>
  </si>
  <si>
    <t>234, Chawro - Bazar, , , New Delhi-110006</t>
  </si>
  <si>
    <t>8-A Rudraraj Apt</t>
  </si>
  <si>
    <t>Rudradham Complex</t>
  </si>
  <si>
    <t>Opp Arihant Apt, Parle Point</t>
  </si>
  <si>
    <t>8-A Rudraraj Apt, Rudradham Complex, Opp Arihant Apt, Parle Point, Surat-395007</t>
  </si>
  <si>
    <t>Sapna P. Singhi</t>
  </si>
  <si>
    <t>Siddharth Singhi</t>
  </si>
  <si>
    <t>Palak Singhi</t>
  </si>
  <si>
    <t>Pradeep Singhi &amp; Associates</t>
  </si>
  <si>
    <t>B-801, Rajhans Maxima,, Nr. Raghuramji Party Plot,, Umra Surat-395007, Surat-395007</t>
  </si>
  <si>
    <t>Flat 33-B Seagull Apartment</t>
  </si>
  <si>
    <t>4-A Bhulabhai Desai Road</t>
  </si>
  <si>
    <t>Haji Ali</t>
  </si>
  <si>
    <t>Flat 33-B Seagull Apartment, 4-A Bhulabhai Desai Road, Haji Ali, Mumbai-400021</t>
  </si>
  <si>
    <t>Meena Ashok Mehta</t>
  </si>
  <si>
    <t>Sachit A. Mehta</t>
  </si>
  <si>
    <t>Meet A. Mehta</t>
  </si>
  <si>
    <t>Mehta Group Of Companies</t>
  </si>
  <si>
    <t>403, Gundecha Chamber, , Nm Road, , Fort, Mumbai-400023</t>
  </si>
  <si>
    <t>226706324/875</t>
  </si>
  <si>
    <t>201, Shubh Aangan</t>
  </si>
  <si>
    <t>Plot No 27, North South Road No 5</t>
  </si>
  <si>
    <t>Jvpd Scheme, Vile Parle West</t>
  </si>
  <si>
    <t>201, Shubh Aangan, Plot No 27, North South Road No 5, Jvpd Scheme, Vile Parle West, Mumbai-400056</t>
  </si>
  <si>
    <t>26115720/26120533</t>
  </si>
  <si>
    <t>Vandana Dangi</t>
  </si>
  <si>
    <t>Upasana Dangi</t>
  </si>
  <si>
    <t>Vikramaditya Dangi</t>
  </si>
  <si>
    <t>Shradha Dangi</t>
  </si>
  <si>
    <t>Libord Group</t>
  </si>
  <si>
    <t>104,Mk Bhavan,300, Shahid Bhagat Singh Road,, Fort, Mumbai-400001</t>
  </si>
  <si>
    <t>22658108/22658109</t>
  </si>
  <si>
    <t>56, Gundecha House</t>
  </si>
  <si>
    <t>Jvpd Scheme, Juhu-Vile Parle Road No 9</t>
  </si>
  <si>
    <t>Near Laxmikant Pyarelal Chowk, Juhu</t>
  </si>
  <si>
    <t>56, Gundecha House, Jvpd Scheme, Juhu-Vile Parle Road No 9, Near Laxmikant Pyarelal Chowk, Juhu, Mumbai-400049</t>
  </si>
  <si>
    <t>Jyotika Paras Gundecha</t>
  </si>
  <si>
    <t>Poonam Gundecha</t>
  </si>
  <si>
    <t>Deepak Gundecha</t>
  </si>
  <si>
    <t>Gundecha Group Of Companies</t>
  </si>
  <si>
    <t>801, Hub Town Solaris, N. S. Phadke Marg, Off Teli Galli, Andheri East, Mumbai-400069</t>
  </si>
  <si>
    <t>“ABHIVRUDDHI” Bungalow,</t>
  </si>
  <si>
    <t xml:space="preserve">Behind Gotila Garden, Opp. Rangwala Bungalow, </t>
  </si>
  <si>
    <t>Sindhu Bhawan Road, Bodakdev,</t>
  </si>
  <si>
    <t>“Abhivruddhi” Bungalow,, Behind Gotila Garden, Opp. Rangwala Bungalow, , Sindhu Bhawan Road, Bodakdev,, Ahmedabad-380054</t>
  </si>
  <si>
    <t>Bela Shah</t>
  </si>
  <si>
    <t>Anushree Shah</t>
  </si>
  <si>
    <t>Vrushali Shah</t>
  </si>
  <si>
    <t>O -ve</t>
  </si>
  <si>
    <t>Monarch Projects &amp; Finmarket Ltd</t>
  </si>
  <si>
    <t>Monarch House, Opp Ishwar Bhuvan, Commerce Six Road, Navrangpura, Ahmedabad-380009</t>
  </si>
  <si>
    <t>26409272/26409274/40005252/40005255</t>
  </si>
  <si>
    <t>Contact Of Nominee</t>
  </si>
  <si>
    <t>61245555/ 23418881</t>
  </si>
  <si>
    <t xml:space="preserve">UID NUMBER </t>
  </si>
  <si>
    <t>FORMS RECEIVED(yes/no)</t>
  </si>
  <si>
    <t>NA</t>
  </si>
  <si>
    <t>Anil  T Jain</t>
  </si>
  <si>
    <t>U00748</t>
  </si>
  <si>
    <t>aniljain@refex.co.in</t>
  </si>
  <si>
    <t>21FOUR SQUARE F1 RUTLAND GATE, 4TH STREET NUNGAMBAKKAM STREET, OPPOSITE TAJ HOTEL, CHENNAI , TAMIL NADU - 600006, CONTACT - 044-28343412/13</t>
  </si>
  <si>
    <t>ANIL JAIN,REFEX GROUP OF COMPANIES10/1, 11TH FLOOR ,BASCON FUTURA ,SV IT PARK,VENKATANARAYANA ROAD, T. NAGAR ,CHENNAI -600017 ;044- 43405950</t>
  </si>
  <si>
    <t>Anil Jain, Suma,Refex 67, Bazullah Road, T. Nagar, Chennai - 600017, Tamil Nadu, Number - 9791162003</t>
  </si>
  <si>
    <t>MRS. DIMPLE JAIN</t>
  </si>
  <si>
    <t xml:space="preserve">Shri </t>
  </si>
  <si>
    <t>Rajesh Chandan</t>
  </si>
  <si>
    <t>rindia2012@gmail.com</t>
  </si>
  <si>
    <t>Rajesh Chandan, One Crest, Flat Number 502 &amp; 602, 19A / 113 Khader Nawaz Khan Road, Opposite Manmandir Showroom, Nungambakkam, Chennai - 600034, Bit.ly/ChandanHome</t>
  </si>
  <si>
    <t>RAJESH CHANDAN, MI LIFESTYLE MARKETING GLOBAL PRIVATE LIMITED, 25, LANCO HOUSE, 2ND FLOOR, G.N. CHETTY ROAD, T. NAGAR, CHENNAI - 600017</t>
  </si>
  <si>
    <t>U00881</t>
  </si>
  <si>
    <t>Vinod Dugar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</si>
</sst>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15608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29">
    <xf numFmtId="0" fontId="0" fillId="0" borderId="0" xfId="0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  <xf numFmtId="164" fontId="4" fillId="3" borderId="1" xfId="1" applyNumberFormat="1" applyFont="1" applyFill="1" applyBorder="1" applyAlignment="1">
      <alignment horizontal="left" wrapText="1"/>
    </xf>
    <xf numFmtId="0" fontId="6" fillId="0" borderId="1" xfId="2" applyFont="1" applyFill="1" applyBorder="1" applyAlignment="1">
      <alignment horizontal="left" wrapText="1"/>
    </xf>
    <xf numFmtId="164" fontId="0" fillId="0" borderId="1" xfId="1" applyNumberFormat="1" applyFont="1" applyFill="1" applyBorder="1" applyAlignment="1">
      <alignment horizontal="left" wrapText="1"/>
    </xf>
    <xf numFmtId="0" fontId="6" fillId="0" borderId="1" xfId="2" applyFont="1" applyFill="1" applyBorder="1" applyAlignment="1">
      <alignment wrapText="1"/>
    </xf>
    <xf numFmtId="0" fontId="0" fillId="0" borderId="1" xfId="3" applyFont="1" applyBorder="1" applyAlignment="1">
      <alignment horizontal="left" wrapText="1"/>
    </xf>
    <xf numFmtId="0" fontId="6" fillId="0" borderId="1" xfId="2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14" fontId="0" fillId="0" borderId="1" xfId="0" applyNumberFormat="1" applyFont="1" applyBorder="1" applyAlignment="1">
      <alignment horizontal="left" wrapText="1"/>
    </xf>
    <xf numFmtId="164" fontId="0" fillId="0" borderId="1" xfId="0" applyNumberFormat="1" applyFont="1" applyBorder="1" applyAlignment="1">
      <alignment horizontal="left" wrapText="1"/>
    </xf>
    <xf numFmtId="16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14" fontId="0" fillId="0" borderId="1" xfId="0" applyNumberFormat="1" applyFont="1" applyBorder="1" applyAlignment="1">
      <alignment wrapText="1"/>
    </xf>
    <xf numFmtId="3" fontId="0" fillId="0" borderId="1" xfId="0" applyNumberFormat="1" applyFont="1" applyBorder="1" applyAlignment="1">
      <alignment horizontal="left" vertical="center" wrapText="1"/>
    </xf>
    <xf numFmtId="16" fontId="0" fillId="0" borderId="1" xfId="0" applyNumberFormat="1" applyFont="1" applyBorder="1" applyAlignment="1">
      <alignment wrapText="1"/>
    </xf>
    <xf numFmtId="3" fontId="0" fillId="0" borderId="1" xfId="0" applyNumberFormat="1" applyFont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0" fontId="0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3" fontId="0" fillId="2" borderId="1" xfId="0" applyNumberFormat="1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/>
    </xf>
    <xf numFmtId="16" fontId="0" fillId="0" borderId="0" xfId="0" applyNumberFormat="1" applyFont="1" applyAlignment="1">
      <alignment horizontal="center" wrapText="1"/>
    </xf>
  </cellXfs>
  <cellStyles count="4">
    <cellStyle name="Comma" xfId="1" builtinId="3"/>
    <cellStyle name="Hyperlink" xfId="2" builtinId="8"/>
    <cellStyle name="Normal" xfId="0" builtinId="0"/>
    <cellStyle name="Normal 2" xfId="3" xr:uid="{0D241089-15F9-4889-A630-4E63FEF5D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bnahar@nahargroup.co.in" TargetMode="External"/><Relationship Id="rId13" Type="http://schemas.openxmlformats.org/officeDocument/2006/relationships/hyperlink" Target="mailto:vinoddugar@rdbindia.com" TargetMode="External"/><Relationship Id="rId18" Type="http://schemas.openxmlformats.org/officeDocument/2006/relationships/hyperlink" Target="mailto:aniljain@refex.co.in" TargetMode="External"/><Relationship Id="rId3" Type="http://schemas.openxmlformats.org/officeDocument/2006/relationships/hyperlink" Target="mailto:hiteshdoshi@waaree.com" TargetMode="External"/><Relationship Id="rId7" Type="http://schemas.openxmlformats.org/officeDocument/2006/relationships/hyperlink" Target="mailto:vjain@sperryplast.com" TargetMode="External"/><Relationship Id="rId12" Type="http://schemas.openxmlformats.org/officeDocument/2006/relationships/hyperlink" Target="mailto:dilip@chandansteel.net" TargetMode="External"/><Relationship Id="rId17" Type="http://schemas.openxmlformats.org/officeDocument/2006/relationships/hyperlink" Target="mailto:ganpat@riddhisiddhi.co.in" TargetMode="External"/><Relationship Id="rId2" Type="http://schemas.openxmlformats.org/officeDocument/2006/relationships/hyperlink" Target="mailto:mehtamanoj@mtcgroup.in" TargetMode="External"/><Relationship Id="rId16" Type="http://schemas.openxmlformats.org/officeDocument/2006/relationships/hyperlink" Target="https://wa.me/+91" TargetMode="External"/><Relationship Id="rId1" Type="http://schemas.openxmlformats.org/officeDocument/2006/relationships/hyperlink" Target="mailto:pkothari@rsbl.co.in" TargetMode="External"/><Relationship Id="rId6" Type="http://schemas.openxmlformats.org/officeDocument/2006/relationships/hyperlink" Target="mailto:gaurav.rathod@celloworld.com" TargetMode="External"/><Relationship Id="rId11" Type="http://schemas.openxmlformats.org/officeDocument/2006/relationships/hyperlink" Target="https://wa.me/+919821244211" TargetMode="External"/><Relationship Id="rId5" Type="http://schemas.openxmlformats.org/officeDocument/2006/relationships/hyperlink" Target="mailto:pgr@celloworld.com" TargetMode="External"/><Relationship Id="rId15" Type="http://schemas.openxmlformats.org/officeDocument/2006/relationships/hyperlink" Target="mailto:paras@gundechabuilders.com" TargetMode="External"/><Relationship Id="rId10" Type="http://schemas.openxmlformats.org/officeDocument/2006/relationships/hyperlink" Target="mailto:gs@financialsupermarket.in" TargetMode="External"/><Relationship Id="rId4" Type="http://schemas.openxmlformats.org/officeDocument/2006/relationships/hyperlink" Target="https://wa.me/+91" TargetMode="External"/><Relationship Id="rId9" Type="http://schemas.openxmlformats.org/officeDocument/2006/relationships/hyperlink" Target="mailto:ssrunwal@runwal.com" TargetMode="External"/><Relationship Id="rId14" Type="http://schemas.openxmlformats.org/officeDocument/2006/relationships/hyperlink" Target="mailto:shbora@rediffmail.com&#16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4E7D-CB42-4FE7-BFDC-F198B44F9DA6}">
  <dimension ref="A1:CH36"/>
  <sheetViews>
    <sheetView tabSelected="1" topLeftCell="V1" workbookViewId="0">
      <pane ySplit="1" topLeftCell="A21" activePane="bottomLeft" state="frozen"/>
      <selection pane="bottomLeft" activeCell="BR44" sqref="BR44"/>
    </sheetView>
  </sheetViews>
  <sheetFormatPr defaultRowHeight="14.4" x14ac:dyDescent="0.3"/>
  <cols>
    <col min="1" max="1" width="6.44140625" style="2" bestFit="1" customWidth="1"/>
    <col min="2" max="2" width="4.44140625" style="2" bestFit="1" customWidth="1"/>
    <col min="3" max="3" width="23.44140625" style="2" customWidth="1"/>
    <col min="4" max="4" width="8.6640625" style="2" bestFit="1" customWidth="1"/>
    <col min="5" max="5" width="8.88671875" style="2"/>
    <col min="6" max="6" width="7.44140625" style="2" bestFit="1" customWidth="1"/>
    <col min="7" max="7" width="11" style="2" bestFit="1" customWidth="1"/>
    <col min="8" max="8" width="26.6640625" style="2" bestFit="1" customWidth="1"/>
    <col min="9" max="9" width="8.33203125" style="2" bestFit="1" customWidth="1"/>
    <col min="10" max="10" width="24" style="2" customWidth="1"/>
    <col min="11" max="11" width="23.88671875" style="2" bestFit="1" customWidth="1"/>
    <col min="12" max="12" width="24" style="2" customWidth="1"/>
    <col min="13" max="14" width="8.88671875" style="2"/>
    <col min="15" max="15" width="18.5546875" style="2" customWidth="1"/>
    <col min="16" max="17" width="8.6640625" style="2" bestFit="1" customWidth="1"/>
    <col min="18" max="18" width="8.109375" style="2" bestFit="1" customWidth="1"/>
    <col min="19" max="19" width="25.6640625" style="2" customWidth="1"/>
    <col min="20" max="20" width="8.88671875" style="2"/>
    <col min="21" max="21" width="9" style="2" bestFit="1" customWidth="1"/>
    <col min="22" max="23" width="8.109375" style="2" bestFit="1" customWidth="1"/>
    <col min="24" max="24" width="8.6640625" style="2" bestFit="1" customWidth="1"/>
    <col min="25" max="25" width="8.5546875" style="2" bestFit="1" customWidth="1"/>
    <col min="26" max="26" width="8.88671875" style="2"/>
    <col min="27" max="27" width="7.88671875" style="2" bestFit="1" customWidth="1"/>
    <col min="28" max="28" width="6.5546875" style="2" bestFit="1" customWidth="1"/>
    <col min="29" max="29" width="8.77734375" style="2" bestFit="1" customWidth="1"/>
    <col min="30" max="30" width="8.88671875" style="2"/>
    <col min="31" max="31" width="10.33203125" style="2" bestFit="1" customWidth="1"/>
    <col min="32" max="32" width="7.109375" style="2" bestFit="1" customWidth="1"/>
    <col min="33" max="33" width="8.88671875" style="2"/>
    <col min="34" max="34" width="8" style="2" bestFit="1" customWidth="1"/>
    <col min="35" max="35" width="10.33203125" style="2" bestFit="1" customWidth="1"/>
    <col min="36" max="36" width="8.5546875" style="2" bestFit="1" customWidth="1"/>
    <col min="37" max="37" width="8" style="2" bestFit="1" customWidth="1"/>
    <col min="38" max="38" width="8.88671875" style="2"/>
    <col min="39" max="39" width="8" style="2" bestFit="1" customWidth="1"/>
    <col min="40" max="40" width="10.33203125" style="2" bestFit="1" customWidth="1"/>
    <col min="41" max="41" width="8.5546875" style="2" bestFit="1" customWidth="1"/>
    <col min="42" max="42" width="8" style="2" bestFit="1" customWidth="1"/>
    <col min="43" max="43" width="8.109375" style="2" bestFit="1" customWidth="1"/>
    <col min="44" max="44" width="8" style="2" bestFit="1" customWidth="1"/>
    <col min="45" max="45" width="10.33203125" style="2" bestFit="1" customWidth="1"/>
    <col min="46" max="46" width="8.5546875" style="2" bestFit="1" customWidth="1"/>
    <col min="47" max="49" width="8" style="2" bestFit="1" customWidth="1"/>
    <col min="50" max="50" width="10.33203125" style="2" bestFit="1" customWidth="1"/>
    <col min="51" max="51" width="8.5546875" style="2" bestFit="1" customWidth="1"/>
    <col min="52" max="52" width="8" style="2" bestFit="1" customWidth="1"/>
    <col min="53" max="53" width="8.44140625" style="2" bestFit="1" customWidth="1"/>
    <col min="54" max="54" width="8.88671875" style="2"/>
    <col min="55" max="55" width="8.6640625" style="2" bestFit="1" customWidth="1"/>
    <col min="56" max="56" width="8.21875" style="2" bestFit="1" customWidth="1"/>
    <col min="57" max="57" width="8.33203125" style="2" bestFit="1" customWidth="1"/>
    <col min="58" max="58" width="11" style="2" bestFit="1" customWidth="1"/>
    <col min="59" max="60" width="8.88671875" style="2"/>
    <col min="61" max="61" width="26.77734375" style="2" customWidth="1"/>
    <col min="62" max="62" width="10.88671875" style="2" customWidth="1"/>
    <col min="63" max="63" width="13.44140625" style="2" bestFit="1" customWidth="1"/>
    <col min="64" max="64" width="7.88671875" style="2" bestFit="1" customWidth="1"/>
    <col min="65" max="65" width="8.88671875" style="2"/>
    <col min="66" max="66" width="8.33203125" style="2" bestFit="1" customWidth="1"/>
    <col min="67" max="67" width="7.88671875" style="2" bestFit="1" customWidth="1"/>
    <col min="68" max="68" width="8.21875" style="2" bestFit="1" customWidth="1"/>
    <col min="69" max="69" width="8.33203125" style="2" bestFit="1" customWidth="1"/>
    <col min="70" max="70" width="7.88671875" style="2" bestFit="1" customWidth="1"/>
    <col min="71" max="71" width="8.21875" style="2" bestFit="1" customWidth="1"/>
    <col min="72" max="72" width="8.33203125" style="2" bestFit="1" customWidth="1"/>
    <col min="73" max="73" width="7.88671875" style="2" bestFit="1" customWidth="1"/>
    <col min="74" max="74" width="8.21875" style="2" bestFit="1" customWidth="1"/>
    <col min="75" max="75" width="9.77734375" style="2" bestFit="1" customWidth="1"/>
    <col min="76" max="76" width="8.77734375" style="2" bestFit="1" customWidth="1"/>
    <col min="77" max="77" width="11" style="2" bestFit="1" customWidth="1"/>
    <col min="78" max="78" width="7.88671875" style="2" bestFit="1" customWidth="1"/>
    <col min="79" max="80" width="8.77734375" style="2" bestFit="1" customWidth="1"/>
    <col min="81" max="81" width="8.21875" style="2" bestFit="1" customWidth="1"/>
    <col min="82" max="82" width="8.44140625" style="2" bestFit="1" customWidth="1"/>
    <col min="83" max="84" width="8.6640625" style="2" bestFit="1" customWidth="1"/>
    <col min="85" max="85" width="8.88671875" style="2"/>
    <col min="86" max="86" width="8.77734375" style="2" bestFit="1" customWidth="1"/>
    <col min="87" max="16384" width="8.88671875" style="2"/>
  </cols>
  <sheetData>
    <row r="1" spans="1:86" s="1" customFormat="1" ht="72" x14ac:dyDescent="0.3">
      <c r="A1" s="3" t="s">
        <v>0</v>
      </c>
      <c r="B1" s="4" t="s">
        <v>221</v>
      </c>
      <c r="C1" s="3" t="s">
        <v>1</v>
      </c>
      <c r="D1" s="4" t="s">
        <v>538</v>
      </c>
      <c r="E1" s="4" t="s">
        <v>219</v>
      </c>
      <c r="F1" s="4" t="s">
        <v>220</v>
      </c>
      <c r="G1" s="5" t="s">
        <v>6</v>
      </c>
      <c r="H1" s="5" t="s">
        <v>7</v>
      </c>
      <c r="I1" s="4" t="s">
        <v>222</v>
      </c>
      <c r="J1" s="5" t="s">
        <v>3</v>
      </c>
      <c r="K1" s="5" t="s">
        <v>4</v>
      </c>
      <c r="L1" s="5" t="s">
        <v>5</v>
      </c>
      <c r="M1" s="4" t="s">
        <v>223</v>
      </c>
      <c r="N1" s="4" t="s">
        <v>224</v>
      </c>
      <c r="O1" s="4" t="s">
        <v>225</v>
      </c>
      <c r="P1" s="4" t="s">
        <v>226</v>
      </c>
      <c r="Q1" s="4" t="s">
        <v>227</v>
      </c>
      <c r="R1" s="4" t="s">
        <v>228</v>
      </c>
      <c r="S1" s="4" t="s">
        <v>229</v>
      </c>
      <c r="T1" s="4" t="s">
        <v>230</v>
      </c>
      <c r="U1" s="4" t="s">
        <v>231</v>
      </c>
      <c r="V1" s="4" t="s">
        <v>232</v>
      </c>
      <c r="W1" s="4" t="s">
        <v>233</v>
      </c>
      <c r="X1" s="4" t="s">
        <v>234</v>
      </c>
      <c r="Y1" s="4" t="s">
        <v>235</v>
      </c>
      <c r="Z1" s="4" t="s">
        <v>236</v>
      </c>
      <c r="AA1" s="4" t="s">
        <v>237</v>
      </c>
      <c r="AB1" s="4" t="s">
        <v>238</v>
      </c>
      <c r="AC1" s="4" t="s">
        <v>239</v>
      </c>
      <c r="AD1" s="4" t="s">
        <v>17</v>
      </c>
      <c r="AE1" s="4" t="s">
        <v>240</v>
      </c>
      <c r="AF1" s="4" t="s">
        <v>241</v>
      </c>
      <c r="AG1" s="4" t="s">
        <v>242</v>
      </c>
      <c r="AH1" s="4" t="s">
        <v>243</v>
      </c>
      <c r="AI1" s="4" t="s">
        <v>244</v>
      </c>
      <c r="AJ1" s="4" t="s">
        <v>245</v>
      </c>
      <c r="AK1" s="4" t="s">
        <v>246</v>
      </c>
      <c r="AL1" s="4" t="s">
        <v>247</v>
      </c>
      <c r="AM1" s="4" t="s">
        <v>248</v>
      </c>
      <c r="AN1" s="4" t="s">
        <v>249</v>
      </c>
      <c r="AO1" s="4" t="s">
        <v>250</v>
      </c>
      <c r="AP1" s="4" t="s">
        <v>251</v>
      </c>
      <c r="AQ1" s="4" t="s">
        <v>252</v>
      </c>
      <c r="AR1" s="4" t="s">
        <v>253</v>
      </c>
      <c r="AS1" s="4" t="s">
        <v>254</v>
      </c>
      <c r="AT1" s="4" t="s">
        <v>255</v>
      </c>
      <c r="AU1" s="4" t="s">
        <v>256</v>
      </c>
      <c r="AV1" s="4" t="s">
        <v>257</v>
      </c>
      <c r="AW1" s="4" t="s">
        <v>258</v>
      </c>
      <c r="AX1" s="4" t="s">
        <v>259</v>
      </c>
      <c r="AY1" s="4" t="s">
        <v>260</v>
      </c>
      <c r="AZ1" s="4" t="s">
        <v>261</v>
      </c>
      <c r="BA1" s="4" t="s">
        <v>262</v>
      </c>
      <c r="BB1" s="4" t="s">
        <v>263</v>
      </c>
      <c r="BC1" s="4" t="s">
        <v>264</v>
      </c>
      <c r="BD1" s="4" t="s">
        <v>265</v>
      </c>
      <c r="BE1" s="4" t="s">
        <v>266</v>
      </c>
      <c r="BF1" s="4" t="s">
        <v>536</v>
      </c>
      <c r="BG1" s="4" t="s">
        <v>267</v>
      </c>
      <c r="BH1" s="5" t="s">
        <v>2</v>
      </c>
      <c r="BI1" s="4" t="s">
        <v>268</v>
      </c>
      <c r="BJ1" s="4" t="s">
        <v>269</v>
      </c>
      <c r="BK1" s="6" t="s">
        <v>9</v>
      </c>
      <c r="BL1" s="5" t="s">
        <v>8</v>
      </c>
      <c r="BM1" s="5" t="s">
        <v>191</v>
      </c>
      <c r="BN1" s="6" t="s">
        <v>188</v>
      </c>
      <c r="BO1" s="5" t="s">
        <v>8</v>
      </c>
      <c r="BP1" s="5" t="s">
        <v>191</v>
      </c>
      <c r="BQ1" s="6" t="s">
        <v>187</v>
      </c>
      <c r="BR1" s="5" t="s">
        <v>8</v>
      </c>
      <c r="BS1" s="5" t="s">
        <v>191</v>
      </c>
      <c r="BT1" s="6" t="s">
        <v>186</v>
      </c>
      <c r="BU1" s="5" t="s">
        <v>8</v>
      </c>
      <c r="BV1" s="5" t="s">
        <v>191</v>
      </c>
      <c r="BW1" s="5" t="s">
        <v>189</v>
      </c>
      <c r="BX1" s="5" t="s">
        <v>190</v>
      </c>
      <c r="BY1" s="5" t="s">
        <v>10</v>
      </c>
      <c r="BZ1" s="5" t="s">
        <v>539</v>
      </c>
      <c r="CA1" s="5" t="s">
        <v>12</v>
      </c>
      <c r="CB1" s="5" t="s">
        <v>11</v>
      </c>
      <c r="CC1" s="5" t="s">
        <v>13</v>
      </c>
      <c r="CD1" s="5" t="s">
        <v>14</v>
      </c>
      <c r="CE1" s="5" t="s">
        <v>15</v>
      </c>
      <c r="CF1" s="5" t="s">
        <v>16</v>
      </c>
      <c r="CG1" s="5" t="s">
        <v>18</v>
      </c>
      <c r="CH1" s="5" t="s">
        <v>19</v>
      </c>
    </row>
    <row r="2" spans="1:86" ht="129.6" x14ac:dyDescent="0.3">
      <c r="A2" s="13">
        <v>1</v>
      </c>
      <c r="B2" s="13" t="s">
        <v>270</v>
      </c>
      <c r="C2" s="13" t="s">
        <v>20</v>
      </c>
      <c r="D2" s="13" t="s">
        <v>21</v>
      </c>
      <c r="E2" s="13" t="s">
        <v>24</v>
      </c>
      <c r="F2" s="13" t="s">
        <v>25</v>
      </c>
      <c r="G2" s="14">
        <v>9892240216</v>
      </c>
      <c r="H2" s="7" t="s">
        <v>26</v>
      </c>
      <c r="I2" s="13" t="s">
        <v>271</v>
      </c>
      <c r="J2" s="14" t="s">
        <v>209</v>
      </c>
      <c r="K2" s="14" t="s">
        <v>22</v>
      </c>
      <c r="L2" s="14" t="s">
        <v>23</v>
      </c>
      <c r="M2" s="13" t="s">
        <v>272</v>
      </c>
      <c r="N2" s="13" t="s">
        <v>273</v>
      </c>
      <c r="O2" s="13" t="s">
        <v>274</v>
      </c>
      <c r="P2" s="13" t="s">
        <v>25</v>
      </c>
      <c r="Q2" s="13" t="s">
        <v>25</v>
      </c>
      <c r="R2" s="13">
        <v>400034</v>
      </c>
      <c r="S2" s="13" t="s">
        <v>275</v>
      </c>
      <c r="T2" s="13"/>
      <c r="U2" s="13"/>
      <c r="V2" s="13"/>
      <c r="W2" s="13"/>
      <c r="X2" s="13" t="s">
        <v>276</v>
      </c>
      <c r="Y2" s="13"/>
      <c r="Z2" s="13"/>
      <c r="AA2" s="13"/>
      <c r="AB2" s="13"/>
      <c r="AC2" s="13"/>
      <c r="AD2" s="13" t="s">
        <v>277</v>
      </c>
      <c r="AE2" s="13"/>
      <c r="AF2" s="13"/>
      <c r="AG2" s="13" t="s">
        <v>278</v>
      </c>
      <c r="AH2" s="13"/>
      <c r="AI2" s="13"/>
      <c r="AJ2" s="13" t="s">
        <v>278</v>
      </c>
      <c r="AK2" s="13"/>
      <c r="AL2" s="13" t="s">
        <v>278</v>
      </c>
      <c r="AM2" s="13" t="s">
        <v>278</v>
      </c>
      <c r="AN2" s="13"/>
      <c r="AO2" s="13" t="s">
        <v>278</v>
      </c>
      <c r="AP2" s="13"/>
      <c r="AQ2" s="13" t="s">
        <v>278</v>
      </c>
      <c r="AR2" s="13" t="s">
        <v>278</v>
      </c>
      <c r="AS2" s="13"/>
      <c r="AT2" s="13" t="s">
        <v>278</v>
      </c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 t="s">
        <v>279</v>
      </c>
      <c r="BH2" s="14"/>
      <c r="BI2" s="13" t="s">
        <v>280</v>
      </c>
      <c r="BJ2" s="13" t="s">
        <v>537</v>
      </c>
      <c r="BK2" s="8">
        <v>2700000</v>
      </c>
      <c r="BL2" s="15"/>
      <c r="BM2" s="15"/>
      <c r="BN2" s="8"/>
      <c r="BO2" s="8"/>
      <c r="BP2" s="14"/>
      <c r="BQ2" s="8"/>
      <c r="BR2" s="8"/>
      <c r="BS2" s="8"/>
      <c r="BT2" s="8"/>
      <c r="BU2" s="8"/>
      <c r="BV2" s="8"/>
      <c r="BW2" s="16">
        <f>SUM(BK2+BN2+BQ2+BT2)</f>
        <v>2700000</v>
      </c>
      <c r="BX2" s="16"/>
      <c r="BY2" s="14"/>
      <c r="BZ2" s="14"/>
      <c r="CA2" s="14"/>
      <c r="CB2" s="14" t="s">
        <v>27</v>
      </c>
      <c r="CC2" s="17">
        <v>45901</v>
      </c>
      <c r="CD2" s="17">
        <v>45713</v>
      </c>
      <c r="CE2" s="18" t="s">
        <v>28</v>
      </c>
      <c r="CF2" s="18" t="s">
        <v>29</v>
      </c>
      <c r="CG2" s="18"/>
      <c r="CH2" s="7" t="s">
        <v>30</v>
      </c>
    </row>
    <row r="3" spans="1:86" ht="86.4" x14ac:dyDescent="0.3">
      <c r="A3" s="13">
        <f t="shared" ref="A3:A36" si="0">A2+1</f>
        <v>2</v>
      </c>
      <c r="B3" s="13" t="s">
        <v>270</v>
      </c>
      <c r="C3" s="13" t="s">
        <v>31</v>
      </c>
      <c r="D3" s="13" t="s">
        <v>32</v>
      </c>
      <c r="E3" s="13" t="s">
        <v>33</v>
      </c>
      <c r="F3" s="13" t="s">
        <v>25</v>
      </c>
      <c r="G3" s="14">
        <v>9820028893</v>
      </c>
      <c r="H3" s="7" t="s">
        <v>34</v>
      </c>
      <c r="I3" s="13" t="s">
        <v>271</v>
      </c>
      <c r="J3" s="14" t="s">
        <v>210</v>
      </c>
      <c r="K3" s="14"/>
      <c r="L3" s="14"/>
      <c r="M3" s="13" t="s">
        <v>281</v>
      </c>
      <c r="N3" s="13" t="s">
        <v>282</v>
      </c>
      <c r="O3" s="13" t="s">
        <v>283</v>
      </c>
      <c r="P3" s="13" t="s">
        <v>25</v>
      </c>
      <c r="Q3" s="13" t="s">
        <v>25</v>
      </c>
      <c r="R3" s="13">
        <v>400069</v>
      </c>
      <c r="S3" s="13" t="s">
        <v>284</v>
      </c>
      <c r="T3" s="13"/>
      <c r="U3" s="13"/>
      <c r="V3" s="13"/>
      <c r="W3" s="13"/>
      <c r="X3" s="13" t="s">
        <v>276</v>
      </c>
      <c r="Y3" s="13"/>
      <c r="Z3" s="13" t="s">
        <v>285</v>
      </c>
      <c r="AA3" s="13"/>
      <c r="AB3" s="13"/>
      <c r="AC3" s="13"/>
      <c r="AD3" s="13" t="s">
        <v>286</v>
      </c>
      <c r="AE3" s="19">
        <v>41967</v>
      </c>
      <c r="AF3" s="13" t="s">
        <v>287</v>
      </c>
      <c r="AG3" s="13" t="s">
        <v>288</v>
      </c>
      <c r="AH3" s="13" t="s">
        <v>289</v>
      </c>
      <c r="AI3" s="19">
        <v>35108</v>
      </c>
      <c r="AJ3" s="13" t="s">
        <v>290</v>
      </c>
      <c r="AK3" s="13" t="s">
        <v>291</v>
      </c>
      <c r="AL3" s="13" t="s">
        <v>292</v>
      </c>
      <c r="AM3" s="13" t="s">
        <v>289</v>
      </c>
      <c r="AN3" s="19">
        <v>36679</v>
      </c>
      <c r="AO3" s="13" t="s">
        <v>293</v>
      </c>
      <c r="AP3" s="13" t="s">
        <v>291</v>
      </c>
      <c r="AQ3" s="13" t="s">
        <v>294</v>
      </c>
      <c r="AR3" s="13" t="s">
        <v>271</v>
      </c>
      <c r="AS3" s="19">
        <v>37727</v>
      </c>
      <c r="AT3" s="13" t="s">
        <v>293</v>
      </c>
      <c r="AU3" s="13" t="s">
        <v>291</v>
      </c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 t="s">
        <v>295</v>
      </c>
      <c r="BH3" s="14"/>
      <c r="BI3" s="13" t="s">
        <v>296</v>
      </c>
      <c r="BJ3" s="13" t="s">
        <v>297</v>
      </c>
      <c r="BK3" s="8">
        <v>2700000</v>
      </c>
      <c r="BL3" s="15"/>
      <c r="BM3" s="15" t="s">
        <v>199</v>
      </c>
      <c r="BN3" s="8"/>
      <c r="BO3" s="8"/>
      <c r="BP3" s="14"/>
      <c r="BQ3" s="8"/>
      <c r="BR3" s="8"/>
      <c r="BS3" s="8"/>
      <c r="BT3" s="8"/>
      <c r="BU3" s="8"/>
      <c r="BV3" s="8"/>
      <c r="BW3" s="16">
        <f t="shared" ref="BW3:BW7" si="1">SUM(BK3+BN3+BQ3+BT3)</f>
        <v>2700000</v>
      </c>
      <c r="BX3" s="16"/>
      <c r="BY3" s="14" t="s">
        <v>35</v>
      </c>
      <c r="BZ3" s="14"/>
      <c r="CA3" s="14"/>
      <c r="CB3" s="14" t="s">
        <v>27</v>
      </c>
      <c r="CC3" s="17">
        <v>45782</v>
      </c>
      <c r="CD3" s="17">
        <v>46014</v>
      </c>
      <c r="CE3" s="18" t="s">
        <v>36</v>
      </c>
      <c r="CF3" s="18" t="s">
        <v>37</v>
      </c>
      <c r="CG3" s="18"/>
      <c r="CH3" s="7" t="s">
        <v>30</v>
      </c>
    </row>
    <row r="4" spans="1:86" ht="115.2" x14ac:dyDescent="0.3">
      <c r="A4" s="13">
        <f t="shared" si="0"/>
        <v>3</v>
      </c>
      <c r="B4" s="13" t="s">
        <v>270</v>
      </c>
      <c r="C4" s="13" t="s">
        <v>38</v>
      </c>
      <c r="D4" s="13" t="s">
        <v>39</v>
      </c>
      <c r="E4" s="13" t="s">
        <v>43</v>
      </c>
      <c r="F4" s="13" t="s">
        <v>25</v>
      </c>
      <c r="G4" s="14">
        <v>9820156554</v>
      </c>
      <c r="H4" s="14" t="s">
        <v>44</v>
      </c>
      <c r="I4" s="13" t="s">
        <v>271</v>
      </c>
      <c r="J4" s="14" t="s">
        <v>40</v>
      </c>
      <c r="K4" s="14" t="s">
        <v>41</v>
      </c>
      <c r="L4" s="14" t="s">
        <v>42</v>
      </c>
      <c r="M4" s="13" t="s">
        <v>298</v>
      </c>
      <c r="N4" s="13" t="s">
        <v>299</v>
      </c>
      <c r="O4" s="13" t="s">
        <v>300</v>
      </c>
      <c r="P4" s="13" t="s">
        <v>25</v>
      </c>
      <c r="Q4" s="13" t="s">
        <v>25</v>
      </c>
      <c r="R4" s="13">
        <v>400092</v>
      </c>
      <c r="S4" s="13" t="s">
        <v>301</v>
      </c>
      <c r="T4" s="13"/>
      <c r="U4" s="13"/>
      <c r="V4" s="13"/>
      <c r="W4" s="13"/>
      <c r="X4" s="13" t="s">
        <v>276</v>
      </c>
      <c r="Y4" s="13"/>
      <c r="Z4" s="13"/>
      <c r="AA4" s="13"/>
      <c r="AB4" s="13"/>
      <c r="AC4" s="13"/>
      <c r="AD4" s="13" t="s">
        <v>302</v>
      </c>
      <c r="AE4" s="19">
        <v>41739</v>
      </c>
      <c r="AF4" s="13" t="s">
        <v>303</v>
      </c>
      <c r="AG4" s="13" t="s">
        <v>304</v>
      </c>
      <c r="AH4" s="13" t="s">
        <v>271</v>
      </c>
      <c r="AI4" s="19">
        <v>30789</v>
      </c>
      <c r="AJ4" s="13" t="s">
        <v>305</v>
      </c>
      <c r="AK4" s="13" t="s">
        <v>303</v>
      </c>
      <c r="AL4" s="13" t="s">
        <v>278</v>
      </c>
      <c r="AM4" s="13" t="s">
        <v>278</v>
      </c>
      <c r="AN4" s="13"/>
      <c r="AO4" s="13" t="s">
        <v>278</v>
      </c>
      <c r="AP4" s="13"/>
      <c r="AQ4" s="13" t="s">
        <v>278</v>
      </c>
      <c r="AR4" s="13" t="s">
        <v>278</v>
      </c>
      <c r="AS4" s="13"/>
      <c r="AT4" s="13" t="s">
        <v>278</v>
      </c>
      <c r="AU4" s="13"/>
      <c r="AV4" s="13"/>
      <c r="AW4" s="13"/>
      <c r="AX4" s="13"/>
      <c r="AY4" s="13"/>
      <c r="AZ4" s="13"/>
      <c r="BA4" s="13" t="s">
        <v>306</v>
      </c>
      <c r="BB4" s="13" t="s">
        <v>307</v>
      </c>
      <c r="BC4" s="13" t="s">
        <v>25</v>
      </c>
      <c r="BD4" s="13" t="s">
        <v>308</v>
      </c>
      <c r="BE4" s="13" t="s">
        <v>309</v>
      </c>
      <c r="BF4" s="13">
        <v>9820156557</v>
      </c>
      <c r="BG4" s="13" t="s">
        <v>310</v>
      </c>
      <c r="BH4" s="14"/>
      <c r="BI4" s="13" t="s">
        <v>311</v>
      </c>
      <c r="BJ4" s="13">
        <v>30077000</v>
      </c>
      <c r="BK4" s="8">
        <v>2700000</v>
      </c>
      <c r="BL4" s="15"/>
      <c r="BM4" s="15" t="s">
        <v>200</v>
      </c>
      <c r="BN4" s="8"/>
      <c r="BO4" s="8"/>
      <c r="BP4" s="14"/>
      <c r="BQ4" s="8"/>
      <c r="BR4" s="8"/>
      <c r="BS4" s="8"/>
      <c r="BT4" s="8"/>
      <c r="BU4" s="8"/>
      <c r="BV4" s="8"/>
      <c r="BW4" s="16">
        <f t="shared" si="1"/>
        <v>2700000</v>
      </c>
      <c r="BX4" s="16"/>
      <c r="BY4" s="14" t="s">
        <v>45</v>
      </c>
      <c r="BZ4" s="14"/>
      <c r="CA4" s="14"/>
      <c r="CB4" s="14"/>
      <c r="CC4" s="17">
        <v>45914</v>
      </c>
      <c r="CD4" s="17">
        <v>45776</v>
      </c>
      <c r="CE4" s="18" t="s">
        <v>28</v>
      </c>
      <c r="CF4" s="18" t="s">
        <v>46</v>
      </c>
      <c r="CG4" s="18"/>
      <c r="CH4" s="7" t="s">
        <v>30</v>
      </c>
    </row>
    <row r="5" spans="1:86" ht="100.8" x14ac:dyDescent="0.3">
      <c r="A5" s="13">
        <f t="shared" si="0"/>
        <v>4</v>
      </c>
      <c r="B5" s="13" t="s">
        <v>270</v>
      </c>
      <c r="C5" s="13" t="s">
        <v>47</v>
      </c>
      <c r="D5" s="13" t="s">
        <v>48</v>
      </c>
      <c r="E5" s="13" t="s">
        <v>43</v>
      </c>
      <c r="F5" s="13" t="s">
        <v>25</v>
      </c>
      <c r="G5" s="14">
        <v>9930112992</v>
      </c>
      <c r="H5" s="7" t="s">
        <v>49</v>
      </c>
      <c r="I5" s="13" t="s">
        <v>271</v>
      </c>
      <c r="J5" s="14" t="s">
        <v>211</v>
      </c>
      <c r="K5" s="14"/>
      <c r="L5" s="14"/>
      <c r="M5" s="13" t="s">
        <v>312</v>
      </c>
      <c r="N5" s="13" t="s">
        <v>313</v>
      </c>
      <c r="O5" s="13" t="s">
        <v>314</v>
      </c>
      <c r="P5" s="13" t="s">
        <v>25</v>
      </c>
      <c r="Q5" s="13" t="s">
        <v>25</v>
      </c>
      <c r="R5" s="13">
        <v>400101</v>
      </c>
      <c r="S5" s="13" t="s">
        <v>315</v>
      </c>
      <c r="T5" s="13">
        <v>22</v>
      </c>
      <c r="U5" s="13">
        <v>28867618</v>
      </c>
      <c r="V5" s="13"/>
      <c r="W5" s="13"/>
      <c r="X5" s="13" t="s">
        <v>276</v>
      </c>
      <c r="Y5" s="13"/>
      <c r="Z5" s="13" t="s">
        <v>285</v>
      </c>
      <c r="AA5" s="13"/>
      <c r="AB5" s="13"/>
      <c r="AC5" s="13"/>
      <c r="AD5" s="13" t="s">
        <v>316</v>
      </c>
      <c r="AE5" s="19">
        <v>25969</v>
      </c>
      <c r="AF5" s="13" t="s">
        <v>291</v>
      </c>
      <c r="AG5" s="13" t="s">
        <v>317</v>
      </c>
      <c r="AH5" s="13" t="s">
        <v>271</v>
      </c>
      <c r="AI5" s="13"/>
      <c r="AJ5" s="13" t="s">
        <v>278</v>
      </c>
      <c r="AK5" s="13" t="s">
        <v>287</v>
      </c>
      <c r="AL5" s="13" t="s">
        <v>318</v>
      </c>
      <c r="AM5" s="13" t="s">
        <v>289</v>
      </c>
      <c r="AN5" s="13"/>
      <c r="AO5" s="13" t="s">
        <v>278</v>
      </c>
      <c r="AP5" s="13" t="s">
        <v>291</v>
      </c>
      <c r="AQ5" s="13" t="s">
        <v>278</v>
      </c>
      <c r="AR5" s="13" t="s">
        <v>278</v>
      </c>
      <c r="AS5" s="13"/>
      <c r="AT5" s="13" t="s">
        <v>278</v>
      </c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 t="s">
        <v>319</v>
      </c>
      <c r="BH5" s="20"/>
      <c r="BI5" s="13" t="s">
        <v>320</v>
      </c>
      <c r="BJ5" s="13">
        <v>66444444</v>
      </c>
      <c r="BK5" s="8"/>
      <c r="BL5" s="15"/>
      <c r="BM5" s="15"/>
      <c r="BN5" s="8"/>
      <c r="BO5" s="8"/>
      <c r="BP5" s="14"/>
      <c r="BQ5" s="8"/>
      <c r="BR5" s="8"/>
      <c r="BS5" s="8"/>
      <c r="BT5" s="8"/>
      <c r="BU5" s="8"/>
      <c r="BV5" s="8"/>
      <c r="BW5" s="16">
        <f>SUM(BK5+BN5+BQ5+BT5)</f>
        <v>0</v>
      </c>
      <c r="BX5" s="16">
        <f t="shared" ref="BX5" si="2">SUM(BK5+BN5)</f>
        <v>0</v>
      </c>
      <c r="BY5" s="14"/>
      <c r="BZ5" s="14"/>
      <c r="CA5" s="14"/>
      <c r="CB5" s="14"/>
      <c r="CC5" s="17">
        <v>45710</v>
      </c>
      <c r="CD5" s="17">
        <v>46002</v>
      </c>
      <c r="CE5" s="18" t="s">
        <v>29</v>
      </c>
      <c r="CF5" s="18" t="s">
        <v>37</v>
      </c>
      <c r="CG5" s="18"/>
      <c r="CH5" s="7" t="s">
        <v>30</v>
      </c>
    </row>
    <row r="6" spans="1:86" ht="100.8" x14ac:dyDescent="0.3">
      <c r="A6" s="13">
        <f t="shared" si="0"/>
        <v>5</v>
      </c>
      <c r="B6" s="13" t="s">
        <v>270</v>
      </c>
      <c r="C6" s="13" t="s">
        <v>208</v>
      </c>
      <c r="D6" s="13" t="s">
        <v>50</v>
      </c>
      <c r="E6" s="13" t="s">
        <v>43</v>
      </c>
      <c r="F6" s="13" t="s">
        <v>25</v>
      </c>
      <c r="G6" s="14" t="s">
        <v>53</v>
      </c>
      <c r="H6" s="9" t="s">
        <v>54</v>
      </c>
      <c r="I6" s="13" t="s">
        <v>271</v>
      </c>
      <c r="J6" s="14" t="s">
        <v>51</v>
      </c>
      <c r="K6" s="14" t="s">
        <v>52</v>
      </c>
      <c r="L6" s="14"/>
      <c r="M6" s="13" t="s">
        <v>321</v>
      </c>
      <c r="N6" s="13" t="s">
        <v>322</v>
      </c>
      <c r="O6" s="13" t="s">
        <v>323</v>
      </c>
      <c r="P6" s="13" t="s">
        <v>25</v>
      </c>
      <c r="Q6" s="13" t="s">
        <v>25</v>
      </c>
      <c r="R6" s="13">
        <v>400062</v>
      </c>
      <c r="S6" s="13" t="s">
        <v>324</v>
      </c>
      <c r="T6" s="13">
        <v>22</v>
      </c>
      <c r="U6" s="13">
        <v>28722072</v>
      </c>
      <c r="V6" s="13"/>
      <c r="W6" s="13"/>
      <c r="X6" s="13" t="s">
        <v>276</v>
      </c>
      <c r="Y6" s="13"/>
      <c r="Z6" s="13"/>
      <c r="AA6" s="13"/>
      <c r="AB6" s="13"/>
      <c r="AC6" s="13"/>
      <c r="AD6" s="13" t="s">
        <v>56</v>
      </c>
      <c r="AE6" s="19">
        <v>41764</v>
      </c>
      <c r="AF6" s="13"/>
      <c r="AG6" s="13" t="s">
        <v>325</v>
      </c>
      <c r="AH6" s="13" t="s">
        <v>271</v>
      </c>
      <c r="AI6" s="19">
        <v>32201</v>
      </c>
      <c r="AJ6" s="13" t="s">
        <v>305</v>
      </c>
      <c r="AK6" s="13"/>
      <c r="AL6" s="13" t="s">
        <v>326</v>
      </c>
      <c r="AM6" s="13" t="s">
        <v>289</v>
      </c>
      <c r="AN6" s="19">
        <v>33170</v>
      </c>
      <c r="AO6" s="13" t="s">
        <v>293</v>
      </c>
      <c r="AP6" s="13"/>
      <c r="AQ6" s="13" t="s">
        <v>278</v>
      </c>
      <c r="AR6" s="13" t="s">
        <v>278</v>
      </c>
      <c r="AS6" s="13"/>
      <c r="AT6" s="13" t="s">
        <v>278</v>
      </c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 t="s">
        <v>327</v>
      </c>
      <c r="BH6" s="14"/>
      <c r="BI6" s="13" t="s">
        <v>328</v>
      </c>
      <c r="BJ6" s="13">
        <v>26851027</v>
      </c>
      <c r="BK6" s="8"/>
      <c r="BL6" s="15"/>
      <c r="BM6" s="15"/>
      <c r="BN6" s="8"/>
      <c r="BO6" s="8"/>
      <c r="BP6" s="14"/>
      <c r="BQ6" s="8"/>
      <c r="BR6" s="8"/>
      <c r="BS6" s="8"/>
      <c r="BT6" s="8"/>
      <c r="BU6" s="8"/>
      <c r="BV6" s="8"/>
      <c r="BW6" s="16">
        <f t="shared" si="1"/>
        <v>0</v>
      </c>
      <c r="BX6" s="16">
        <f t="shared" ref="BX6" si="3">SUM(BK6+BN6)</f>
        <v>0</v>
      </c>
      <c r="BY6" s="14">
        <v>9819067733</v>
      </c>
      <c r="BZ6" s="14"/>
      <c r="CA6" s="14"/>
      <c r="CB6" s="14"/>
      <c r="CC6" s="17">
        <v>45680</v>
      </c>
      <c r="CD6" s="21">
        <v>46000</v>
      </c>
      <c r="CE6" s="18" t="s">
        <v>55</v>
      </c>
      <c r="CF6" s="18" t="s">
        <v>37</v>
      </c>
      <c r="CG6" s="10" t="s">
        <v>57</v>
      </c>
      <c r="CH6" s="7" t="s">
        <v>30</v>
      </c>
    </row>
    <row r="7" spans="1:86" ht="86.4" x14ac:dyDescent="0.3">
      <c r="A7" s="13">
        <f t="shared" si="0"/>
        <v>6</v>
      </c>
      <c r="B7" s="13" t="s">
        <v>270</v>
      </c>
      <c r="C7" s="13" t="s">
        <v>58</v>
      </c>
      <c r="D7" s="13" t="s">
        <v>59</v>
      </c>
      <c r="E7" s="13" t="s">
        <v>43</v>
      </c>
      <c r="F7" s="13" t="s">
        <v>25</v>
      </c>
      <c r="G7" s="14">
        <v>9820002750</v>
      </c>
      <c r="H7" s="7" t="s">
        <v>61</v>
      </c>
      <c r="I7" s="13" t="s">
        <v>271</v>
      </c>
      <c r="J7" s="14" t="s">
        <v>60</v>
      </c>
      <c r="K7" s="14"/>
      <c r="L7" s="14"/>
      <c r="M7" s="13" t="s">
        <v>329</v>
      </c>
      <c r="N7" s="13" t="s">
        <v>330</v>
      </c>
      <c r="O7" s="13" t="s">
        <v>331</v>
      </c>
      <c r="P7" s="13" t="s">
        <v>25</v>
      </c>
      <c r="Q7" s="13" t="s">
        <v>25</v>
      </c>
      <c r="R7" s="13">
        <v>400104</v>
      </c>
      <c r="S7" s="13" t="s">
        <v>332</v>
      </c>
      <c r="T7" s="13"/>
      <c r="U7" s="13"/>
      <c r="V7" s="13" t="s">
        <v>333</v>
      </c>
      <c r="W7" s="13" t="s">
        <v>334</v>
      </c>
      <c r="X7" s="13" t="s">
        <v>276</v>
      </c>
      <c r="Y7" s="13" t="s">
        <v>335</v>
      </c>
      <c r="Z7" s="13" t="s">
        <v>336</v>
      </c>
      <c r="AA7" s="13" t="s">
        <v>337</v>
      </c>
      <c r="AB7" s="13"/>
      <c r="AC7" s="13" t="s">
        <v>338</v>
      </c>
      <c r="AD7" s="13" t="s">
        <v>339</v>
      </c>
      <c r="AE7" s="19">
        <v>32400</v>
      </c>
      <c r="AF7" s="13" t="s">
        <v>340</v>
      </c>
      <c r="AG7" s="13" t="s">
        <v>341</v>
      </c>
      <c r="AH7" s="13" t="s">
        <v>271</v>
      </c>
      <c r="AI7" s="19">
        <v>44317</v>
      </c>
      <c r="AJ7" s="13" t="s">
        <v>290</v>
      </c>
      <c r="AK7" s="13"/>
      <c r="AL7" s="13" t="s">
        <v>342</v>
      </c>
      <c r="AM7" s="13" t="s">
        <v>289</v>
      </c>
      <c r="AN7" s="19">
        <v>44317</v>
      </c>
      <c r="AO7" s="13" t="s">
        <v>290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 t="s">
        <v>339</v>
      </c>
      <c r="BB7" s="13"/>
      <c r="BC7" s="13"/>
      <c r="BD7" s="13"/>
      <c r="BE7" s="13" t="s">
        <v>343</v>
      </c>
      <c r="BF7" s="13">
        <v>9820258934</v>
      </c>
      <c r="BG7" s="13" t="s">
        <v>57</v>
      </c>
      <c r="BH7" s="14"/>
      <c r="BI7" s="13" t="s">
        <v>344</v>
      </c>
      <c r="BJ7" s="13" t="s">
        <v>345</v>
      </c>
      <c r="BK7" s="22"/>
      <c r="BL7" s="15"/>
      <c r="BM7" s="15"/>
      <c r="BN7" s="8"/>
      <c r="BO7" s="8"/>
      <c r="BP7" s="14"/>
      <c r="BQ7" s="8"/>
      <c r="BR7" s="8"/>
      <c r="BS7" s="8"/>
      <c r="BT7" s="8"/>
      <c r="BU7" s="8"/>
      <c r="BV7" s="8"/>
      <c r="BW7" s="16">
        <f t="shared" si="1"/>
        <v>0</v>
      </c>
      <c r="BX7" s="16">
        <f t="shared" ref="BX7" si="4">SUM(BK7+BN7)</f>
        <v>0</v>
      </c>
      <c r="BY7" s="14"/>
      <c r="BZ7" s="14"/>
      <c r="CA7" s="14"/>
      <c r="CB7" s="14"/>
      <c r="CC7" s="17">
        <v>45716</v>
      </c>
      <c r="CD7" s="17">
        <v>46001</v>
      </c>
      <c r="CE7" s="18" t="s">
        <v>29</v>
      </c>
      <c r="CF7" s="18" t="s">
        <v>37</v>
      </c>
      <c r="CG7" s="18"/>
      <c r="CH7" s="7" t="s">
        <v>30</v>
      </c>
    </row>
    <row r="8" spans="1:86" ht="129.6" x14ac:dyDescent="0.3">
      <c r="A8" s="13">
        <f t="shared" si="0"/>
        <v>7</v>
      </c>
      <c r="B8" s="13" t="s">
        <v>270</v>
      </c>
      <c r="C8" s="13" t="s">
        <v>201</v>
      </c>
      <c r="D8" s="13" t="s">
        <v>202</v>
      </c>
      <c r="E8" s="13" t="s">
        <v>62</v>
      </c>
      <c r="F8" s="13" t="s">
        <v>63</v>
      </c>
      <c r="G8" s="14">
        <v>9327083311</v>
      </c>
      <c r="H8" s="11" t="s">
        <v>205</v>
      </c>
      <c r="I8" s="13" t="s">
        <v>271</v>
      </c>
      <c r="J8" s="14" t="s">
        <v>203</v>
      </c>
      <c r="K8" s="14" t="s">
        <v>204</v>
      </c>
      <c r="L8" s="14"/>
      <c r="M8" s="13" t="s">
        <v>346</v>
      </c>
      <c r="N8" s="13" t="s">
        <v>347</v>
      </c>
      <c r="O8" s="13" t="s">
        <v>348</v>
      </c>
      <c r="P8" s="13" t="s">
        <v>62</v>
      </c>
      <c r="Q8" s="13" t="s">
        <v>62</v>
      </c>
      <c r="R8" s="13">
        <v>380058</v>
      </c>
      <c r="S8" s="13" t="s">
        <v>349</v>
      </c>
      <c r="T8" s="13">
        <v>2717</v>
      </c>
      <c r="U8" s="13">
        <v>295845</v>
      </c>
      <c r="V8" s="13"/>
      <c r="W8" s="13"/>
      <c r="X8" s="13" t="s">
        <v>276</v>
      </c>
      <c r="Y8" s="13"/>
      <c r="Z8" s="13" t="s">
        <v>350</v>
      </c>
      <c r="AA8" s="13"/>
      <c r="AB8" s="13"/>
      <c r="AC8" s="13"/>
      <c r="AD8" s="13" t="s">
        <v>206</v>
      </c>
      <c r="AE8" s="19">
        <v>41976</v>
      </c>
      <c r="AF8" s="13" t="s">
        <v>291</v>
      </c>
      <c r="AG8" s="13" t="s">
        <v>351</v>
      </c>
      <c r="AH8" s="13" t="s">
        <v>271</v>
      </c>
      <c r="AI8" s="19">
        <v>30924</v>
      </c>
      <c r="AJ8" s="13" t="s">
        <v>305</v>
      </c>
      <c r="AK8" s="13" t="s">
        <v>352</v>
      </c>
      <c r="AL8" s="13" t="s">
        <v>278</v>
      </c>
      <c r="AM8" s="13" t="s">
        <v>278</v>
      </c>
      <c r="AN8" s="13"/>
      <c r="AO8" s="13" t="s">
        <v>278</v>
      </c>
      <c r="AP8" s="13"/>
      <c r="AQ8" s="13" t="s">
        <v>278</v>
      </c>
      <c r="AR8" s="13" t="s">
        <v>278</v>
      </c>
      <c r="AS8" s="13"/>
      <c r="AT8" s="13" t="s">
        <v>278</v>
      </c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 t="s">
        <v>207</v>
      </c>
      <c r="BH8" s="14"/>
      <c r="BI8" s="13" t="s">
        <v>353</v>
      </c>
      <c r="BJ8" s="13" t="s">
        <v>354</v>
      </c>
      <c r="BK8" s="8">
        <v>2700000</v>
      </c>
      <c r="BL8" s="14"/>
      <c r="BM8" s="14" t="s">
        <v>218</v>
      </c>
      <c r="BN8" s="14"/>
      <c r="BO8" s="14"/>
      <c r="BP8" s="14"/>
      <c r="BQ8" s="14"/>
      <c r="BR8" s="14"/>
      <c r="BS8" s="14"/>
      <c r="BT8" s="14"/>
      <c r="BU8" s="14"/>
      <c r="BV8" s="14"/>
      <c r="BW8" s="16">
        <f>SUM(BK8+BN8+BQ8+BT8)</f>
        <v>2700000</v>
      </c>
      <c r="BX8" s="14"/>
      <c r="BY8" s="14"/>
      <c r="BZ8" s="14"/>
      <c r="CA8" s="14"/>
      <c r="CB8" s="14"/>
      <c r="CC8" s="14" t="s">
        <v>168</v>
      </c>
      <c r="CD8" s="14" t="s">
        <v>79</v>
      </c>
      <c r="CE8" s="14"/>
      <c r="CF8" s="14" t="s">
        <v>206</v>
      </c>
      <c r="CG8" s="14"/>
      <c r="CH8" s="14"/>
    </row>
    <row r="9" spans="1:86" ht="86.4" x14ac:dyDescent="0.3">
      <c r="A9" s="13">
        <f t="shared" si="0"/>
        <v>8</v>
      </c>
      <c r="B9" s="13" t="s">
        <v>270</v>
      </c>
      <c r="C9" s="13" t="s">
        <v>64</v>
      </c>
      <c r="D9" s="13" t="s">
        <v>65</v>
      </c>
      <c r="E9" s="13" t="s">
        <v>67</v>
      </c>
      <c r="F9" s="13" t="s">
        <v>68</v>
      </c>
      <c r="G9" s="14">
        <v>9810091827</v>
      </c>
      <c r="H9" s="7" t="s">
        <v>69</v>
      </c>
      <c r="I9" s="13" t="s">
        <v>271</v>
      </c>
      <c r="J9" s="14" t="s">
        <v>66</v>
      </c>
      <c r="K9" s="14"/>
      <c r="L9" s="14"/>
      <c r="M9" s="13" t="s">
        <v>355</v>
      </c>
      <c r="N9" s="13" t="s">
        <v>356</v>
      </c>
      <c r="O9" s="13" t="s">
        <v>357</v>
      </c>
      <c r="P9" s="13" t="s">
        <v>358</v>
      </c>
      <c r="Q9" s="13" t="s">
        <v>358</v>
      </c>
      <c r="R9" s="13">
        <v>201310</v>
      </c>
      <c r="S9" s="13" t="s">
        <v>359</v>
      </c>
      <c r="T9" s="13"/>
      <c r="U9" s="13"/>
      <c r="V9" s="13"/>
      <c r="W9" s="13"/>
      <c r="X9" s="13" t="s">
        <v>276</v>
      </c>
      <c r="Y9" s="13"/>
      <c r="Z9" s="13"/>
      <c r="AA9" s="13"/>
      <c r="AB9" s="13"/>
      <c r="AC9" s="13"/>
      <c r="AD9" s="13" t="s">
        <v>360</v>
      </c>
      <c r="AE9" s="19">
        <v>41767</v>
      </c>
      <c r="AF9" s="13"/>
      <c r="AG9" s="13" t="s">
        <v>361</v>
      </c>
      <c r="AH9" s="13" t="s">
        <v>271</v>
      </c>
      <c r="AI9" s="13"/>
      <c r="AJ9" s="13" t="s">
        <v>290</v>
      </c>
      <c r="AK9" s="13"/>
      <c r="AL9" s="13" t="s">
        <v>362</v>
      </c>
      <c r="AM9" s="13" t="s">
        <v>271</v>
      </c>
      <c r="AN9" s="13"/>
      <c r="AO9" s="13" t="s">
        <v>293</v>
      </c>
      <c r="AP9" s="13"/>
      <c r="AQ9" s="13" t="s">
        <v>278</v>
      </c>
      <c r="AR9" s="13" t="s">
        <v>278</v>
      </c>
      <c r="AS9" s="13"/>
      <c r="AT9" s="13" t="s">
        <v>278</v>
      </c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 t="s">
        <v>363</v>
      </c>
      <c r="BH9" s="14"/>
      <c r="BI9" s="13" t="s">
        <v>364</v>
      </c>
      <c r="BJ9" s="13"/>
      <c r="BK9" s="8"/>
      <c r="BL9" s="15"/>
      <c r="BM9" s="15"/>
      <c r="BN9" s="8"/>
      <c r="BO9" s="8"/>
      <c r="BP9" s="14"/>
      <c r="BQ9" s="8"/>
      <c r="BR9" s="8"/>
      <c r="BS9" s="8"/>
      <c r="BT9" s="8"/>
      <c r="BU9" s="8"/>
      <c r="BV9" s="8"/>
      <c r="BW9" s="16">
        <f t="shared" ref="BW9:BW29" si="5">SUM(BK9+BN9+BQ9+BT9)</f>
        <v>0</v>
      </c>
      <c r="BX9" s="16">
        <f t="shared" ref="BX9:BX11" si="6">SUM(BK9+BN9)</f>
        <v>0</v>
      </c>
      <c r="BY9" s="14"/>
      <c r="BZ9" s="14"/>
      <c r="CA9" s="14"/>
      <c r="CB9" s="14"/>
      <c r="CC9" s="17">
        <v>45933</v>
      </c>
      <c r="CD9" s="17">
        <v>45686</v>
      </c>
      <c r="CE9" s="18" t="s">
        <v>70</v>
      </c>
      <c r="CF9" s="18" t="s">
        <v>55</v>
      </c>
      <c r="CG9" s="18" t="s">
        <v>71</v>
      </c>
      <c r="CH9" s="7" t="s">
        <v>30</v>
      </c>
    </row>
    <row r="10" spans="1:86" ht="115.2" x14ac:dyDescent="0.3">
      <c r="A10" s="13">
        <f t="shared" si="0"/>
        <v>9</v>
      </c>
      <c r="B10" s="13" t="s">
        <v>270</v>
      </c>
      <c r="C10" s="13" t="s">
        <v>72</v>
      </c>
      <c r="D10" s="13" t="s">
        <v>73</v>
      </c>
      <c r="E10" s="13" t="s">
        <v>74</v>
      </c>
      <c r="F10" s="13" t="s">
        <v>75</v>
      </c>
      <c r="G10" s="14">
        <v>9954974892</v>
      </c>
      <c r="H10" s="14" t="s">
        <v>76</v>
      </c>
      <c r="I10" s="13" t="s">
        <v>271</v>
      </c>
      <c r="J10" s="14" t="s">
        <v>212</v>
      </c>
      <c r="K10" s="14"/>
      <c r="L10" s="14"/>
      <c r="M10" s="13" t="s">
        <v>365</v>
      </c>
      <c r="N10" s="13" t="s">
        <v>366</v>
      </c>
      <c r="O10" s="13" t="s">
        <v>367</v>
      </c>
      <c r="P10" s="13" t="s">
        <v>135</v>
      </c>
      <c r="Q10" s="13" t="s">
        <v>135</v>
      </c>
      <c r="R10" s="13"/>
      <c r="S10" s="13" t="s">
        <v>368</v>
      </c>
      <c r="T10" s="13"/>
      <c r="U10" s="13"/>
      <c r="V10" s="13"/>
      <c r="W10" s="13"/>
      <c r="X10" s="13" t="s">
        <v>276</v>
      </c>
      <c r="Y10" s="13"/>
      <c r="Z10" s="13"/>
      <c r="AA10" s="13"/>
      <c r="AB10" s="13"/>
      <c r="AC10" s="13"/>
      <c r="AD10" s="13" t="s">
        <v>369</v>
      </c>
      <c r="AE10" s="19">
        <v>26750</v>
      </c>
      <c r="AF10" s="13"/>
      <c r="AG10" s="13" t="s">
        <v>370</v>
      </c>
      <c r="AH10" s="13" t="s">
        <v>271</v>
      </c>
      <c r="AI10" s="19">
        <v>34676</v>
      </c>
      <c r="AJ10" s="13" t="s">
        <v>290</v>
      </c>
      <c r="AK10" s="13"/>
      <c r="AL10" s="13" t="s">
        <v>371</v>
      </c>
      <c r="AM10" s="13" t="s">
        <v>271</v>
      </c>
      <c r="AN10" s="19">
        <v>36031</v>
      </c>
      <c r="AO10" s="13" t="s">
        <v>293</v>
      </c>
      <c r="AP10" s="13"/>
      <c r="AQ10" s="13" t="s">
        <v>278</v>
      </c>
      <c r="AR10" s="13" t="s">
        <v>278</v>
      </c>
      <c r="AS10" s="13"/>
      <c r="AT10" s="13" t="s">
        <v>278</v>
      </c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 t="s">
        <v>372</v>
      </c>
      <c r="BH10" s="14"/>
      <c r="BI10" s="13" t="s">
        <v>373</v>
      </c>
      <c r="BJ10" s="13">
        <v>2202587</v>
      </c>
      <c r="BK10" s="8"/>
      <c r="BL10" s="15"/>
      <c r="BM10" s="15"/>
      <c r="BN10" s="8"/>
      <c r="BO10" s="8"/>
      <c r="BP10" s="14"/>
      <c r="BQ10" s="8"/>
      <c r="BR10" s="8"/>
      <c r="BS10" s="8"/>
      <c r="BT10" s="8"/>
      <c r="BU10" s="8"/>
      <c r="BV10" s="8"/>
      <c r="BW10" s="16">
        <f t="shared" si="5"/>
        <v>0</v>
      </c>
      <c r="BX10" s="16">
        <f t="shared" si="6"/>
        <v>0</v>
      </c>
      <c r="BY10" s="14" t="s">
        <v>77</v>
      </c>
      <c r="BZ10" s="14"/>
      <c r="CA10" s="14"/>
      <c r="CB10" s="14"/>
      <c r="CC10" s="17">
        <v>45971</v>
      </c>
      <c r="CD10" s="17">
        <v>45673</v>
      </c>
      <c r="CE10" s="18" t="s">
        <v>79</v>
      </c>
      <c r="CF10" s="18" t="s">
        <v>55</v>
      </c>
      <c r="CG10" s="18"/>
      <c r="CH10" s="7" t="s">
        <v>30</v>
      </c>
    </row>
    <row r="11" spans="1:86" ht="72" x14ac:dyDescent="0.3">
      <c r="A11" s="13">
        <f t="shared" si="0"/>
        <v>10</v>
      </c>
      <c r="B11" s="13" t="s">
        <v>270</v>
      </c>
      <c r="C11" s="13" t="s">
        <v>80</v>
      </c>
      <c r="D11" s="13" t="s">
        <v>81</v>
      </c>
      <c r="E11" s="13" t="s">
        <v>83</v>
      </c>
      <c r="F11" s="13" t="s">
        <v>25</v>
      </c>
      <c r="G11" s="14">
        <v>9821013484</v>
      </c>
      <c r="H11" s="7" t="s">
        <v>84</v>
      </c>
      <c r="I11" s="13" t="s">
        <v>271</v>
      </c>
      <c r="J11" s="14" t="s">
        <v>82</v>
      </c>
      <c r="K11" s="14"/>
      <c r="L11" s="14"/>
      <c r="M11" s="13" t="s">
        <v>374</v>
      </c>
      <c r="N11" s="13" t="s">
        <v>375</v>
      </c>
      <c r="O11" s="13" t="s">
        <v>278</v>
      </c>
      <c r="P11" s="13" t="s">
        <v>25</v>
      </c>
      <c r="Q11" s="13" t="s">
        <v>25</v>
      </c>
      <c r="R11" s="13">
        <v>400006</v>
      </c>
      <c r="S11" s="13" t="s">
        <v>376</v>
      </c>
      <c r="T11" s="13"/>
      <c r="U11" s="13"/>
      <c r="V11" s="13"/>
      <c r="W11" s="13"/>
      <c r="X11" s="13" t="s">
        <v>276</v>
      </c>
      <c r="Y11" s="13"/>
      <c r="Z11" s="13" t="s">
        <v>377</v>
      </c>
      <c r="AA11" s="13"/>
      <c r="AB11" s="13"/>
      <c r="AC11" s="13"/>
      <c r="AD11" s="13" t="s">
        <v>378</v>
      </c>
      <c r="AE11" s="19">
        <v>41821</v>
      </c>
      <c r="AF11" s="13" t="s">
        <v>287</v>
      </c>
      <c r="AG11" s="13" t="s">
        <v>379</v>
      </c>
      <c r="AH11" s="13" t="s">
        <v>289</v>
      </c>
      <c r="AI11" s="19">
        <v>26975</v>
      </c>
      <c r="AJ11" s="13" t="s">
        <v>305</v>
      </c>
      <c r="AK11" s="13" t="s">
        <v>291</v>
      </c>
      <c r="AL11" s="13" t="s">
        <v>380</v>
      </c>
      <c r="AM11" s="13" t="s">
        <v>289</v>
      </c>
      <c r="AN11" s="19">
        <v>27364</v>
      </c>
      <c r="AO11" s="13" t="s">
        <v>305</v>
      </c>
      <c r="AP11" s="13" t="s">
        <v>291</v>
      </c>
      <c r="AQ11" s="13" t="s">
        <v>381</v>
      </c>
      <c r="AR11" s="13" t="s">
        <v>271</v>
      </c>
      <c r="AS11" s="19">
        <v>28542</v>
      </c>
      <c r="AT11" s="13" t="s">
        <v>305</v>
      </c>
      <c r="AU11" s="13" t="s">
        <v>287</v>
      </c>
      <c r="AV11" s="13" t="s">
        <v>382</v>
      </c>
      <c r="AW11" s="13" t="s">
        <v>289</v>
      </c>
      <c r="AX11" s="19">
        <v>29246</v>
      </c>
      <c r="AY11" s="13" t="s">
        <v>305</v>
      </c>
      <c r="AZ11" s="13" t="s">
        <v>287</v>
      </c>
      <c r="BA11" s="13"/>
      <c r="BB11" s="13"/>
      <c r="BC11" s="13"/>
      <c r="BD11" s="13"/>
      <c r="BE11" s="13"/>
      <c r="BF11" s="13"/>
      <c r="BG11" s="13" t="s">
        <v>383</v>
      </c>
      <c r="BH11" s="14"/>
      <c r="BI11" s="13" t="s">
        <v>384</v>
      </c>
      <c r="BJ11" s="13">
        <v>23538425</v>
      </c>
      <c r="BK11" s="8"/>
      <c r="BL11" s="15"/>
      <c r="BM11" s="15"/>
      <c r="BN11" s="8"/>
      <c r="BO11" s="8"/>
      <c r="BP11" s="14"/>
      <c r="BQ11" s="8"/>
      <c r="BR11" s="8"/>
      <c r="BS11" s="8"/>
      <c r="BT11" s="8"/>
      <c r="BU11" s="8"/>
      <c r="BV11" s="8"/>
      <c r="BW11" s="16">
        <f t="shared" si="5"/>
        <v>0</v>
      </c>
      <c r="BX11" s="16">
        <f t="shared" si="6"/>
        <v>0</v>
      </c>
      <c r="BY11" s="14" t="s">
        <v>85</v>
      </c>
      <c r="BZ11" s="14"/>
      <c r="CA11" s="14"/>
      <c r="CB11" s="14"/>
      <c r="CC11" s="17">
        <v>45750</v>
      </c>
      <c r="CD11" s="17">
        <v>45705</v>
      </c>
      <c r="CE11" s="18" t="s">
        <v>46</v>
      </c>
      <c r="CF11" s="18" t="s">
        <v>29</v>
      </c>
      <c r="CG11" s="18"/>
      <c r="CH11" s="7" t="s">
        <v>30</v>
      </c>
    </row>
    <row r="12" spans="1:86" ht="100.8" x14ac:dyDescent="0.3">
      <c r="A12" s="13">
        <f t="shared" si="0"/>
        <v>11</v>
      </c>
      <c r="B12" s="13" t="s">
        <v>270</v>
      </c>
      <c r="C12" s="13" t="s">
        <v>86</v>
      </c>
      <c r="D12" s="13" t="s">
        <v>87</v>
      </c>
      <c r="E12" s="13" t="s">
        <v>62</v>
      </c>
      <c r="F12" s="13" t="s">
        <v>63</v>
      </c>
      <c r="G12" s="14">
        <v>9825005158</v>
      </c>
      <c r="H12" s="14" t="s">
        <v>89</v>
      </c>
      <c r="I12" s="13" t="s">
        <v>271</v>
      </c>
      <c r="J12" s="14" t="s">
        <v>88</v>
      </c>
      <c r="K12" s="14"/>
      <c r="L12" s="14"/>
      <c r="M12" s="13" t="s">
        <v>385</v>
      </c>
      <c r="N12" s="13" t="s">
        <v>386</v>
      </c>
      <c r="O12" s="13" t="s">
        <v>387</v>
      </c>
      <c r="P12" s="13" t="s">
        <v>62</v>
      </c>
      <c r="Q12" s="13" t="s">
        <v>62</v>
      </c>
      <c r="R12" s="13">
        <v>380015</v>
      </c>
      <c r="S12" s="13" t="s">
        <v>388</v>
      </c>
      <c r="T12" s="13">
        <v>79</v>
      </c>
      <c r="U12" s="13">
        <v>26630397</v>
      </c>
      <c r="V12" s="13"/>
      <c r="W12" s="13"/>
      <c r="X12" s="13" t="s">
        <v>276</v>
      </c>
      <c r="Y12" s="13"/>
      <c r="Z12" s="13" t="s">
        <v>285</v>
      </c>
      <c r="AA12" s="13"/>
      <c r="AB12" s="13"/>
      <c r="AC12" s="13"/>
      <c r="AD12" s="13" t="s">
        <v>389</v>
      </c>
      <c r="AE12" s="13"/>
      <c r="AF12" s="13"/>
      <c r="AG12" s="13" t="s">
        <v>278</v>
      </c>
      <c r="AH12" s="13"/>
      <c r="AI12" s="13"/>
      <c r="AJ12" s="13" t="s">
        <v>278</v>
      </c>
      <c r="AK12" s="13"/>
      <c r="AL12" s="13" t="s">
        <v>278</v>
      </c>
      <c r="AM12" s="13" t="s">
        <v>278</v>
      </c>
      <c r="AN12" s="13"/>
      <c r="AO12" s="13" t="s">
        <v>278</v>
      </c>
      <c r="AP12" s="13"/>
      <c r="AQ12" s="13" t="s">
        <v>278</v>
      </c>
      <c r="AR12" s="13" t="s">
        <v>278</v>
      </c>
      <c r="AS12" s="13"/>
      <c r="AT12" s="13" t="s">
        <v>278</v>
      </c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 t="s">
        <v>390</v>
      </c>
      <c r="BH12" s="14"/>
      <c r="BI12" s="13" t="s">
        <v>391</v>
      </c>
      <c r="BJ12" s="13">
        <v>61907373</v>
      </c>
      <c r="BK12" s="8"/>
      <c r="BL12" s="15"/>
      <c r="BM12" s="15"/>
      <c r="BN12" s="8"/>
      <c r="BO12" s="8"/>
      <c r="BP12" s="14"/>
      <c r="BQ12" s="8"/>
      <c r="BR12" s="8"/>
      <c r="BS12" s="8"/>
      <c r="BT12" s="8"/>
      <c r="BU12" s="8"/>
      <c r="BV12" s="8"/>
      <c r="BW12" s="16">
        <f t="shared" si="5"/>
        <v>0</v>
      </c>
      <c r="BX12" s="16">
        <f t="shared" ref="BX12:BX13" si="7">SUM(BK12+BN12)</f>
        <v>0</v>
      </c>
      <c r="BY12" s="14" t="s">
        <v>90</v>
      </c>
      <c r="BZ12" s="14"/>
      <c r="CA12" s="14"/>
      <c r="CB12" s="14"/>
      <c r="CC12" s="17">
        <v>45674</v>
      </c>
      <c r="CD12" s="17" t="s">
        <v>27</v>
      </c>
      <c r="CE12" s="18" t="s">
        <v>55</v>
      </c>
      <c r="CF12" s="18" t="s">
        <v>27</v>
      </c>
      <c r="CG12" s="18" t="s">
        <v>91</v>
      </c>
      <c r="CH12" s="7" t="s">
        <v>30</v>
      </c>
    </row>
    <row r="13" spans="1:86" ht="86.4" x14ac:dyDescent="0.3">
      <c r="A13" s="13">
        <f t="shared" si="0"/>
        <v>12</v>
      </c>
      <c r="B13" s="13" t="s">
        <v>270</v>
      </c>
      <c r="C13" s="13" t="s">
        <v>92</v>
      </c>
      <c r="D13" s="13" t="s">
        <v>93</v>
      </c>
      <c r="E13" s="13" t="s">
        <v>95</v>
      </c>
      <c r="F13" s="13" t="s">
        <v>25</v>
      </c>
      <c r="G13" s="14">
        <v>9821289203</v>
      </c>
      <c r="H13" s="7" t="s">
        <v>96</v>
      </c>
      <c r="I13" s="13" t="s">
        <v>271</v>
      </c>
      <c r="J13" s="14" t="s">
        <v>213</v>
      </c>
      <c r="K13" s="14" t="s">
        <v>94</v>
      </c>
      <c r="L13" s="14"/>
      <c r="M13" s="13" t="s">
        <v>392</v>
      </c>
      <c r="N13" s="13" t="s">
        <v>393</v>
      </c>
      <c r="O13" s="13" t="s">
        <v>394</v>
      </c>
      <c r="P13" s="13" t="s">
        <v>25</v>
      </c>
      <c r="Q13" s="13" t="s">
        <v>25</v>
      </c>
      <c r="R13" s="13">
        <v>400050</v>
      </c>
      <c r="S13" s="13" t="s">
        <v>395</v>
      </c>
      <c r="T13" s="13"/>
      <c r="U13" s="13"/>
      <c r="V13" s="13"/>
      <c r="W13" s="13"/>
      <c r="X13" s="13" t="s">
        <v>276</v>
      </c>
      <c r="Y13" s="13"/>
      <c r="Z13" s="13"/>
      <c r="AA13" s="13"/>
      <c r="AB13" s="13"/>
      <c r="AC13" s="13"/>
      <c r="AD13" s="13" t="s">
        <v>396</v>
      </c>
      <c r="AE13" s="13"/>
      <c r="AF13" s="13"/>
      <c r="AG13" s="13" t="s">
        <v>278</v>
      </c>
      <c r="AH13" s="13"/>
      <c r="AI13" s="13"/>
      <c r="AJ13" s="13" t="s">
        <v>278</v>
      </c>
      <c r="AK13" s="13"/>
      <c r="AL13" s="13" t="s">
        <v>278</v>
      </c>
      <c r="AM13" s="13" t="s">
        <v>278</v>
      </c>
      <c r="AN13" s="13"/>
      <c r="AO13" s="13" t="s">
        <v>278</v>
      </c>
      <c r="AP13" s="13"/>
      <c r="AQ13" s="13" t="s">
        <v>278</v>
      </c>
      <c r="AR13" s="13" t="s">
        <v>278</v>
      </c>
      <c r="AS13" s="13"/>
      <c r="AT13" s="13" t="s">
        <v>278</v>
      </c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 t="s">
        <v>397</v>
      </c>
      <c r="BH13" s="14"/>
      <c r="BI13" s="13" t="s">
        <v>398</v>
      </c>
      <c r="BJ13" s="13" t="s">
        <v>399</v>
      </c>
      <c r="BK13" s="8"/>
      <c r="BL13" s="15"/>
      <c r="BM13" s="15"/>
      <c r="BN13" s="8"/>
      <c r="BO13" s="8"/>
      <c r="BP13" s="14"/>
      <c r="BQ13" s="8"/>
      <c r="BR13" s="8"/>
      <c r="BS13" s="8"/>
      <c r="BT13" s="8"/>
      <c r="BU13" s="8"/>
      <c r="BV13" s="8"/>
      <c r="BW13" s="16">
        <f t="shared" si="5"/>
        <v>0</v>
      </c>
      <c r="BX13" s="16">
        <f t="shared" si="7"/>
        <v>0</v>
      </c>
      <c r="BY13" s="14" t="s">
        <v>97</v>
      </c>
      <c r="BZ13" s="14"/>
      <c r="CA13" s="14"/>
      <c r="CB13" s="14"/>
      <c r="CC13" s="17">
        <v>45800</v>
      </c>
      <c r="CD13" s="17">
        <v>45848</v>
      </c>
      <c r="CE13" s="18" t="s">
        <v>36</v>
      </c>
      <c r="CF13" s="18" t="s">
        <v>98</v>
      </c>
      <c r="CG13" s="13" t="s">
        <v>99</v>
      </c>
      <c r="CH13" s="7" t="s">
        <v>30</v>
      </c>
    </row>
    <row r="14" spans="1:86" ht="100.8" x14ac:dyDescent="0.3">
      <c r="A14" s="13">
        <f t="shared" si="0"/>
        <v>13</v>
      </c>
      <c r="B14" s="13" t="s">
        <v>270</v>
      </c>
      <c r="C14" s="13" t="s">
        <v>100</v>
      </c>
      <c r="D14" s="13" t="s">
        <v>101</v>
      </c>
      <c r="E14" s="13" t="s">
        <v>105</v>
      </c>
      <c r="F14" s="13" t="s">
        <v>106</v>
      </c>
      <c r="G14" s="14">
        <v>9840277772</v>
      </c>
      <c r="H14" s="14" t="s">
        <v>107</v>
      </c>
      <c r="I14" s="13" t="s">
        <v>271</v>
      </c>
      <c r="J14" s="14" t="s">
        <v>102</v>
      </c>
      <c r="K14" s="14" t="s">
        <v>103</v>
      </c>
      <c r="L14" s="14" t="s">
        <v>104</v>
      </c>
      <c r="M14" s="13" t="s">
        <v>400</v>
      </c>
      <c r="N14" s="13" t="s">
        <v>401</v>
      </c>
      <c r="O14" s="13" t="s">
        <v>402</v>
      </c>
      <c r="P14" s="13" t="s">
        <v>105</v>
      </c>
      <c r="Q14" s="13" t="s">
        <v>105</v>
      </c>
      <c r="R14" s="13">
        <v>600034</v>
      </c>
      <c r="S14" s="13" t="s">
        <v>403</v>
      </c>
      <c r="T14" s="13">
        <v>44</v>
      </c>
      <c r="U14" s="13" t="s">
        <v>404</v>
      </c>
      <c r="V14" s="13"/>
      <c r="W14" s="13"/>
      <c r="X14" s="13" t="s">
        <v>276</v>
      </c>
      <c r="Y14" s="13"/>
      <c r="Z14" s="13"/>
      <c r="AA14" s="13"/>
      <c r="AB14" s="13"/>
      <c r="AC14" s="13"/>
      <c r="AD14" s="13" t="s">
        <v>405</v>
      </c>
      <c r="AE14" s="19">
        <v>41860</v>
      </c>
      <c r="AF14" s="13"/>
      <c r="AG14" s="13" t="s">
        <v>406</v>
      </c>
      <c r="AH14" s="13" t="s">
        <v>289</v>
      </c>
      <c r="AI14" s="19">
        <v>32231</v>
      </c>
      <c r="AJ14" s="13" t="s">
        <v>305</v>
      </c>
      <c r="AK14" s="13" t="s">
        <v>287</v>
      </c>
      <c r="AL14" s="13" t="s">
        <v>407</v>
      </c>
      <c r="AM14" s="13" t="s">
        <v>289</v>
      </c>
      <c r="AN14" s="19">
        <v>33141</v>
      </c>
      <c r="AO14" s="13" t="s">
        <v>293</v>
      </c>
      <c r="AP14" s="13" t="s">
        <v>287</v>
      </c>
      <c r="AQ14" s="13" t="s">
        <v>278</v>
      </c>
      <c r="AR14" s="13" t="s">
        <v>278</v>
      </c>
      <c r="AS14" s="13"/>
      <c r="AT14" s="13" t="s">
        <v>278</v>
      </c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 t="s">
        <v>408</v>
      </c>
      <c r="BH14" s="14"/>
      <c r="BI14" s="13" t="s">
        <v>409</v>
      </c>
      <c r="BJ14" s="13">
        <v>66773333</v>
      </c>
      <c r="BK14" s="8"/>
      <c r="BL14" s="15"/>
      <c r="BM14" s="15"/>
      <c r="BN14" s="8"/>
      <c r="BO14" s="8"/>
      <c r="BP14" s="14"/>
      <c r="BQ14" s="8"/>
      <c r="BR14" s="8"/>
      <c r="BS14" s="8"/>
      <c r="BT14" s="8"/>
      <c r="BU14" s="8"/>
      <c r="BV14" s="8"/>
      <c r="BW14" s="16">
        <f t="shared" si="5"/>
        <v>0</v>
      </c>
      <c r="BX14" s="16">
        <f t="shared" ref="BX14" si="8">SUM(BK14+BN14)</f>
        <v>0</v>
      </c>
      <c r="BY14" s="14"/>
      <c r="BZ14" s="14"/>
      <c r="CA14" s="14"/>
      <c r="CB14" s="14"/>
      <c r="CC14" s="17">
        <v>45707</v>
      </c>
      <c r="CD14" s="17">
        <v>45994</v>
      </c>
      <c r="CE14" s="18" t="s">
        <v>29</v>
      </c>
      <c r="CF14" s="18" t="s">
        <v>37</v>
      </c>
      <c r="CG14" s="18"/>
      <c r="CH14" s="7" t="s">
        <v>30</v>
      </c>
    </row>
    <row r="15" spans="1:86" ht="100.8" x14ac:dyDescent="0.3">
      <c r="A15" s="13">
        <f t="shared" si="0"/>
        <v>14</v>
      </c>
      <c r="B15" s="13" t="s">
        <v>270</v>
      </c>
      <c r="C15" s="13" t="s">
        <v>113</v>
      </c>
      <c r="D15" s="13" t="s">
        <v>108</v>
      </c>
      <c r="E15" s="13" t="s">
        <v>159</v>
      </c>
      <c r="F15" s="13" t="s">
        <v>63</v>
      </c>
      <c r="G15" s="14">
        <v>9825147455</v>
      </c>
      <c r="H15" s="7" t="s">
        <v>111</v>
      </c>
      <c r="I15" s="13" t="s">
        <v>271</v>
      </c>
      <c r="J15" s="14" t="s">
        <v>109</v>
      </c>
      <c r="K15" s="14" t="s">
        <v>110</v>
      </c>
      <c r="L15" s="14"/>
      <c r="M15" s="13" t="s">
        <v>410</v>
      </c>
      <c r="N15" s="13" t="s">
        <v>411</v>
      </c>
      <c r="O15" s="13" t="s">
        <v>412</v>
      </c>
      <c r="P15" s="13" t="s">
        <v>159</v>
      </c>
      <c r="Q15" s="13" t="s">
        <v>159</v>
      </c>
      <c r="R15" s="13">
        <v>395001</v>
      </c>
      <c r="S15" s="13" t="s">
        <v>413</v>
      </c>
      <c r="T15" s="13">
        <v>261</v>
      </c>
      <c r="U15" s="13">
        <v>3056496</v>
      </c>
      <c r="V15" s="13"/>
      <c r="W15" s="13"/>
      <c r="X15" s="13" t="s">
        <v>414</v>
      </c>
      <c r="Y15" s="13"/>
      <c r="Z15" s="13" t="s">
        <v>350</v>
      </c>
      <c r="AA15" s="13"/>
      <c r="AB15" s="13"/>
      <c r="AC15" s="13"/>
      <c r="AD15" s="13" t="s">
        <v>415</v>
      </c>
      <c r="AE15" s="19">
        <v>42013</v>
      </c>
      <c r="AF15" s="13" t="s">
        <v>352</v>
      </c>
      <c r="AG15" s="13" t="s">
        <v>416</v>
      </c>
      <c r="AH15" s="13" t="s">
        <v>271</v>
      </c>
      <c r="AI15" s="19">
        <v>37320</v>
      </c>
      <c r="AJ15" s="13" t="s">
        <v>290</v>
      </c>
      <c r="AK15" s="13" t="s">
        <v>352</v>
      </c>
      <c r="AL15" s="13" t="s">
        <v>417</v>
      </c>
      <c r="AM15" s="13" t="s">
        <v>271</v>
      </c>
      <c r="AN15" s="19">
        <v>39812</v>
      </c>
      <c r="AO15" s="13" t="s">
        <v>293</v>
      </c>
      <c r="AP15" s="13" t="s">
        <v>287</v>
      </c>
      <c r="AQ15" s="13" t="s">
        <v>278</v>
      </c>
      <c r="AR15" s="13" t="s">
        <v>278</v>
      </c>
      <c r="AS15" s="13"/>
      <c r="AT15" s="13" t="s">
        <v>278</v>
      </c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 t="s">
        <v>418</v>
      </c>
      <c r="BH15" s="14"/>
      <c r="BI15" s="13" t="s">
        <v>419</v>
      </c>
      <c r="BJ15" s="13" t="s">
        <v>420</v>
      </c>
      <c r="BK15" s="8"/>
      <c r="BL15" s="15"/>
      <c r="BM15" s="15"/>
      <c r="BN15" s="8"/>
      <c r="BO15" s="8"/>
      <c r="BP15" s="14"/>
      <c r="BQ15" s="8"/>
      <c r="BR15" s="8"/>
      <c r="BS15" s="8"/>
      <c r="BT15" s="8"/>
      <c r="BU15" s="8"/>
      <c r="BV15" s="8"/>
      <c r="BW15" s="16">
        <f t="shared" si="5"/>
        <v>0</v>
      </c>
      <c r="BX15" s="16">
        <f t="shared" ref="BX15:BX17" si="9">SUM(BK15+BN15)</f>
        <v>0</v>
      </c>
      <c r="BY15" s="23" t="s">
        <v>112</v>
      </c>
      <c r="BZ15" s="14"/>
      <c r="CA15" s="14"/>
      <c r="CB15" s="14"/>
      <c r="CC15" s="17">
        <v>45689</v>
      </c>
      <c r="CD15" s="17">
        <v>45766</v>
      </c>
      <c r="CE15" s="18" t="s">
        <v>29</v>
      </c>
      <c r="CF15" s="18" t="s">
        <v>46</v>
      </c>
      <c r="CG15" s="18"/>
      <c r="CH15" s="7" t="s">
        <v>30</v>
      </c>
    </row>
    <row r="16" spans="1:86" ht="129.6" x14ac:dyDescent="0.3">
      <c r="A16" s="13">
        <f t="shared" si="0"/>
        <v>15</v>
      </c>
      <c r="B16" s="13" t="s">
        <v>270</v>
      </c>
      <c r="C16" s="13" t="s">
        <v>114</v>
      </c>
      <c r="D16" s="13" t="s">
        <v>115</v>
      </c>
      <c r="E16" s="13" t="s">
        <v>421</v>
      </c>
      <c r="F16" s="13" t="s">
        <v>118</v>
      </c>
      <c r="G16" s="14">
        <v>9920440606</v>
      </c>
      <c r="H16" s="14" t="s">
        <v>119</v>
      </c>
      <c r="I16" s="13" t="s">
        <v>271</v>
      </c>
      <c r="J16" s="14" t="s">
        <v>214</v>
      </c>
      <c r="K16" s="14" t="s">
        <v>116</v>
      </c>
      <c r="L16" s="14" t="s">
        <v>117</v>
      </c>
      <c r="M16" s="13" t="s">
        <v>422</v>
      </c>
      <c r="N16" s="13" t="s">
        <v>278</v>
      </c>
      <c r="O16" s="13" t="s">
        <v>423</v>
      </c>
      <c r="P16" s="13" t="s">
        <v>424</v>
      </c>
      <c r="Q16" s="13" t="s">
        <v>424</v>
      </c>
      <c r="R16" s="13">
        <v>560004</v>
      </c>
      <c r="S16" s="13" t="s">
        <v>425</v>
      </c>
      <c r="T16" s="13">
        <v>80</v>
      </c>
      <c r="U16" s="13">
        <v>26675568</v>
      </c>
      <c r="V16" s="13"/>
      <c r="W16" s="13"/>
      <c r="X16" s="13" t="s">
        <v>414</v>
      </c>
      <c r="Y16" s="13"/>
      <c r="Z16" s="13"/>
      <c r="AA16" s="13"/>
      <c r="AB16" s="13"/>
      <c r="AC16" s="13"/>
      <c r="AD16" s="13" t="s">
        <v>426</v>
      </c>
      <c r="AE16" s="13"/>
      <c r="AF16" s="13"/>
      <c r="AG16" s="13" t="s">
        <v>278</v>
      </c>
      <c r="AH16" s="13"/>
      <c r="AI16" s="13"/>
      <c r="AJ16" s="13" t="s">
        <v>278</v>
      </c>
      <c r="AK16" s="13"/>
      <c r="AL16" s="13" t="s">
        <v>278</v>
      </c>
      <c r="AM16" s="13" t="s">
        <v>278</v>
      </c>
      <c r="AN16" s="13"/>
      <c r="AO16" s="13" t="s">
        <v>278</v>
      </c>
      <c r="AP16" s="13"/>
      <c r="AQ16" s="13" t="s">
        <v>278</v>
      </c>
      <c r="AR16" s="13" t="s">
        <v>278</v>
      </c>
      <c r="AS16" s="13"/>
      <c r="AT16" s="13" t="s">
        <v>278</v>
      </c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 t="s">
        <v>427</v>
      </c>
      <c r="BH16" s="14"/>
      <c r="BI16" s="13" t="s">
        <v>428</v>
      </c>
      <c r="BJ16" s="13">
        <v>65676004</v>
      </c>
      <c r="BK16" s="22"/>
      <c r="BL16" s="15"/>
      <c r="BM16" s="15"/>
      <c r="BN16" s="8"/>
      <c r="BO16" s="8"/>
      <c r="BP16" s="14"/>
      <c r="BQ16" s="8"/>
      <c r="BR16" s="8"/>
      <c r="BS16" s="8"/>
      <c r="BT16" s="8"/>
      <c r="BU16" s="8"/>
      <c r="BV16" s="8"/>
      <c r="BW16" s="16">
        <f t="shared" si="5"/>
        <v>0</v>
      </c>
      <c r="BX16" s="16">
        <f t="shared" si="9"/>
        <v>0</v>
      </c>
      <c r="BY16" s="14"/>
      <c r="BZ16" s="14"/>
      <c r="CA16" s="14"/>
      <c r="CB16" s="14"/>
      <c r="CC16" s="17">
        <v>45991</v>
      </c>
      <c r="CD16" s="17">
        <v>45991</v>
      </c>
      <c r="CE16" s="18" t="s">
        <v>79</v>
      </c>
      <c r="CF16" s="18" t="s">
        <v>79</v>
      </c>
      <c r="CG16" s="18"/>
      <c r="CH16" s="7" t="s">
        <v>30</v>
      </c>
    </row>
    <row r="17" spans="1:86" ht="86.4" x14ac:dyDescent="0.3">
      <c r="A17" s="13">
        <f t="shared" si="0"/>
        <v>16</v>
      </c>
      <c r="B17" s="13" t="s">
        <v>270</v>
      </c>
      <c r="C17" s="13" t="s">
        <v>120</v>
      </c>
      <c r="D17" s="13" t="s">
        <v>121</v>
      </c>
      <c r="E17" s="13" t="s">
        <v>429</v>
      </c>
      <c r="F17" s="13" t="s">
        <v>25</v>
      </c>
      <c r="G17" s="14">
        <v>9821244211</v>
      </c>
      <c r="H17" s="14" t="s">
        <v>125</v>
      </c>
      <c r="I17" s="13" t="s">
        <v>271</v>
      </c>
      <c r="J17" s="14" t="s">
        <v>122</v>
      </c>
      <c r="K17" s="14" t="s">
        <v>123</v>
      </c>
      <c r="L17" s="14" t="s">
        <v>124</v>
      </c>
      <c r="M17" s="13" t="s">
        <v>430</v>
      </c>
      <c r="N17" s="13" t="s">
        <v>431</v>
      </c>
      <c r="O17" s="13" t="s">
        <v>432</v>
      </c>
      <c r="P17" s="13" t="s">
        <v>433</v>
      </c>
      <c r="Q17" s="13" t="s">
        <v>25</v>
      </c>
      <c r="R17" s="13">
        <v>400033</v>
      </c>
      <c r="S17" s="13" t="s">
        <v>434</v>
      </c>
      <c r="T17" s="13">
        <v>22</v>
      </c>
      <c r="U17" s="13">
        <v>23780448</v>
      </c>
      <c r="V17" s="13" t="s">
        <v>435</v>
      </c>
      <c r="W17" s="13" t="s">
        <v>436</v>
      </c>
      <c r="X17" s="13" t="s">
        <v>414</v>
      </c>
      <c r="Y17" s="13" t="s">
        <v>437</v>
      </c>
      <c r="Z17" s="13" t="s">
        <v>278</v>
      </c>
      <c r="AA17" s="13" t="s">
        <v>278</v>
      </c>
      <c r="AB17" s="13" t="s">
        <v>278</v>
      </c>
      <c r="AC17" s="13" t="s">
        <v>278</v>
      </c>
      <c r="AD17" s="13" t="s">
        <v>438</v>
      </c>
      <c r="AE17" s="13"/>
      <c r="AF17" s="13" t="s">
        <v>278</v>
      </c>
      <c r="AG17" s="13" t="s">
        <v>278</v>
      </c>
      <c r="AH17" s="13"/>
      <c r="AI17" s="13"/>
      <c r="AJ17" s="13"/>
      <c r="AK17" s="13" t="s">
        <v>278</v>
      </c>
      <c r="AL17" s="13" t="s">
        <v>278</v>
      </c>
      <c r="AM17" s="13"/>
      <c r="AN17" s="13"/>
      <c r="AO17" s="13"/>
      <c r="AP17" s="13" t="s">
        <v>278</v>
      </c>
      <c r="AQ17" s="13" t="s">
        <v>278</v>
      </c>
      <c r="AR17" s="13"/>
      <c r="AS17" s="13"/>
      <c r="AT17" s="13"/>
      <c r="AU17" s="13" t="s">
        <v>278</v>
      </c>
      <c r="AV17" s="13" t="s">
        <v>278</v>
      </c>
      <c r="AW17" s="13"/>
      <c r="AX17" s="13"/>
      <c r="AY17" s="13"/>
      <c r="AZ17" s="13" t="s">
        <v>278</v>
      </c>
      <c r="BA17" s="13" t="s">
        <v>278</v>
      </c>
      <c r="BB17" s="13" t="s">
        <v>278</v>
      </c>
      <c r="BC17" s="13"/>
      <c r="BD17" s="13" t="s">
        <v>278</v>
      </c>
      <c r="BE17" s="13" t="s">
        <v>278</v>
      </c>
      <c r="BF17" s="13" t="s">
        <v>278</v>
      </c>
      <c r="BG17" s="13" t="s">
        <v>278</v>
      </c>
      <c r="BH17" s="14"/>
      <c r="BI17" s="13" t="s">
        <v>439</v>
      </c>
      <c r="BJ17" s="13"/>
      <c r="BK17" s="8"/>
      <c r="BL17" s="15"/>
      <c r="BM17" s="15"/>
      <c r="BN17" s="8"/>
      <c r="BO17" s="8"/>
      <c r="BP17" s="14"/>
      <c r="BQ17" s="8"/>
      <c r="BR17" s="8"/>
      <c r="BS17" s="8"/>
      <c r="BT17" s="8"/>
      <c r="BU17" s="8"/>
      <c r="BV17" s="8"/>
      <c r="BW17" s="16">
        <f t="shared" si="5"/>
        <v>0</v>
      </c>
      <c r="BX17" s="16">
        <f t="shared" si="9"/>
        <v>0</v>
      </c>
      <c r="BY17" s="14"/>
      <c r="BZ17" s="14"/>
      <c r="CA17" s="14"/>
      <c r="CB17" s="14"/>
      <c r="CC17" s="17">
        <v>46005</v>
      </c>
      <c r="CD17" s="17">
        <v>45998</v>
      </c>
      <c r="CE17" s="18" t="s">
        <v>37</v>
      </c>
      <c r="CF17" s="18" t="s">
        <v>37</v>
      </c>
      <c r="CG17" s="14" t="s">
        <v>126</v>
      </c>
      <c r="CH17" s="7" t="s">
        <v>127</v>
      </c>
    </row>
    <row r="18" spans="1:86" ht="72" x14ac:dyDescent="0.3">
      <c r="A18" s="13">
        <f t="shared" si="0"/>
        <v>17</v>
      </c>
      <c r="B18" s="13" t="s">
        <v>270</v>
      </c>
      <c r="C18" s="13" t="s">
        <v>128</v>
      </c>
      <c r="D18" s="13" t="s">
        <v>129</v>
      </c>
      <c r="E18" s="13" t="s">
        <v>83</v>
      </c>
      <c r="F18" s="13" t="s">
        <v>25</v>
      </c>
      <c r="G18" s="14">
        <v>9821022333</v>
      </c>
      <c r="H18" s="7" t="s">
        <v>131</v>
      </c>
      <c r="I18" s="13" t="s">
        <v>271</v>
      </c>
      <c r="J18" s="14" t="s">
        <v>130</v>
      </c>
      <c r="K18" s="14"/>
      <c r="L18" s="14"/>
      <c r="M18" s="13" t="s">
        <v>440</v>
      </c>
      <c r="N18" s="13" t="s">
        <v>441</v>
      </c>
      <c r="O18" s="13" t="s">
        <v>442</v>
      </c>
      <c r="P18" s="13" t="s">
        <v>25</v>
      </c>
      <c r="Q18" s="13" t="s">
        <v>25</v>
      </c>
      <c r="R18" s="13">
        <v>400006</v>
      </c>
      <c r="S18" s="13" t="s">
        <v>443</v>
      </c>
      <c r="T18" s="13">
        <v>22</v>
      </c>
      <c r="U18" s="13">
        <v>23676905</v>
      </c>
      <c r="V18" s="13" t="s">
        <v>444</v>
      </c>
      <c r="W18" s="13" t="s">
        <v>445</v>
      </c>
      <c r="X18" s="13" t="s">
        <v>276</v>
      </c>
      <c r="Y18" s="13"/>
      <c r="Z18" s="13"/>
      <c r="AA18" s="13"/>
      <c r="AB18" s="13"/>
      <c r="AC18" s="13"/>
      <c r="AD18" s="13" t="s">
        <v>446</v>
      </c>
      <c r="AE18" s="13"/>
      <c r="AF18" s="13"/>
      <c r="AG18" s="13" t="s">
        <v>447</v>
      </c>
      <c r="AH18" s="13" t="s">
        <v>271</v>
      </c>
      <c r="AI18" s="19">
        <v>32138</v>
      </c>
      <c r="AJ18" s="13" t="s">
        <v>305</v>
      </c>
      <c r="AK18" s="13"/>
      <c r="AL18" s="13" t="s">
        <v>448</v>
      </c>
      <c r="AM18" s="13" t="s">
        <v>271</v>
      </c>
      <c r="AN18" s="19">
        <v>32138</v>
      </c>
      <c r="AO18" s="13" t="s">
        <v>305</v>
      </c>
      <c r="AP18" s="13"/>
      <c r="AQ18" s="13" t="s">
        <v>449</v>
      </c>
      <c r="AR18" s="13" t="s">
        <v>289</v>
      </c>
      <c r="AS18" s="19">
        <v>36880</v>
      </c>
      <c r="AT18" s="13" t="s">
        <v>293</v>
      </c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 t="s">
        <v>450</v>
      </c>
      <c r="BH18" s="14"/>
      <c r="BI18" s="13" t="s">
        <v>451</v>
      </c>
      <c r="BJ18" s="13">
        <v>66290600</v>
      </c>
      <c r="BK18" s="8"/>
      <c r="BL18" s="15"/>
      <c r="BM18" s="15"/>
      <c r="BN18" s="8"/>
      <c r="BO18" s="8"/>
      <c r="BP18" s="14"/>
      <c r="BQ18" s="8"/>
      <c r="BR18" s="8"/>
      <c r="BS18" s="8"/>
      <c r="BT18" s="8"/>
      <c r="BU18" s="8"/>
      <c r="BV18" s="8"/>
      <c r="BW18" s="16">
        <f t="shared" si="5"/>
        <v>0</v>
      </c>
      <c r="BX18" s="16">
        <f t="shared" ref="BX18" si="10">SUM(BK18+BN18)</f>
        <v>0</v>
      </c>
      <c r="BY18" s="14"/>
      <c r="BZ18" s="14"/>
      <c r="CA18" s="14"/>
      <c r="CB18" s="14"/>
      <c r="CC18" s="17">
        <v>45658</v>
      </c>
      <c r="CD18" s="17">
        <v>45696</v>
      </c>
      <c r="CE18" s="18" t="s">
        <v>55</v>
      </c>
      <c r="CF18" s="18" t="s">
        <v>29</v>
      </c>
      <c r="CG18" s="18" t="s">
        <v>132</v>
      </c>
      <c r="CH18" s="7" t="s">
        <v>30</v>
      </c>
    </row>
    <row r="19" spans="1:86" ht="100.8" x14ac:dyDescent="0.3">
      <c r="A19" s="13">
        <f t="shared" si="0"/>
        <v>18</v>
      </c>
      <c r="B19" s="13" t="s">
        <v>270</v>
      </c>
      <c r="C19" s="13" t="s">
        <v>133</v>
      </c>
      <c r="D19" s="13"/>
      <c r="E19" s="13" t="s">
        <v>135</v>
      </c>
      <c r="F19" s="13" t="s">
        <v>75</v>
      </c>
      <c r="G19" s="14">
        <v>9831909393</v>
      </c>
      <c r="H19" s="7" t="s">
        <v>78</v>
      </c>
      <c r="I19" s="13" t="s">
        <v>289</v>
      </c>
      <c r="J19" s="14" t="s">
        <v>215</v>
      </c>
      <c r="K19" s="14" t="s">
        <v>134</v>
      </c>
      <c r="L19" s="14"/>
      <c r="M19" s="13" t="s">
        <v>452</v>
      </c>
      <c r="N19" s="13" t="s">
        <v>453</v>
      </c>
      <c r="O19" s="13" t="s">
        <v>278</v>
      </c>
      <c r="P19" s="13" t="s">
        <v>135</v>
      </c>
      <c r="Q19" s="13" t="s">
        <v>135</v>
      </c>
      <c r="R19" s="13">
        <v>700019</v>
      </c>
      <c r="S19" s="13" t="s">
        <v>454</v>
      </c>
      <c r="T19" s="13"/>
      <c r="U19" s="13"/>
      <c r="V19" s="13"/>
      <c r="W19" s="13"/>
      <c r="X19" s="13" t="s">
        <v>276</v>
      </c>
      <c r="Y19" s="13"/>
      <c r="Z19" s="13" t="s">
        <v>350</v>
      </c>
      <c r="AA19" s="13"/>
      <c r="AB19" s="13"/>
      <c r="AC19" s="13"/>
      <c r="AD19" s="13" t="s">
        <v>554</v>
      </c>
      <c r="AE19" s="19"/>
      <c r="AF19" s="13"/>
      <c r="AG19" s="13" t="s">
        <v>455</v>
      </c>
      <c r="AH19" s="13" t="s">
        <v>289</v>
      </c>
      <c r="AI19" s="19">
        <v>35847</v>
      </c>
      <c r="AJ19" s="13" t="s">
        <v>290</v>
      </c>
      <c r="AK19" s="13" t="s">
        <v>287</v>
      </c>
      <c r="AL19" s="13" t="s">
        <v>456</v>
      </c>
      <c r="AM19" s="13" t="s">
        <v>289</v>
      </c>
      <c r="AN19" s="19">
        <v>38572</v>
      </c>
      <c r="AO19" s="13" t="s">
        <v>293</v>
      </c>
      <c r="AP19" s="13" t="s">
        <v>457</v>
      </c>
      <c r="AQ19" s="13" t="s">
        <v>458</v>
      </c>
      <c r="AR19" s="13" t="s">
        <v>289</v>
      </c>
      <c r="AS19" s="19">
        <v>39623</v>
      </c>
      <c r="AT19" s="13" t="s">
        <v>293</v>
      </c>
      <c r="AU19" s="13" t="s">
        <v>287</v>
      </c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 t="s">
        <v>459</v>
      </c>
      <c r="BH19" s="14"/>
      <c r="BI19" s="13" t="s">
        <v>460</v>
      </c>
      <c r="BJ19" s="13">
        <v>44500500</v>
      </c>
      <c r="BK19" s="8"/>
      <c r="BL19" s="15"/>
      <c r="BM19" s="15"/>
      <c r="BN19" s="22"/>
      <c r="BO19" s="22"/>
      <c r="BP19" s="14"/>
      <c r="BQ19" s="22"/>
      <c r="BR19" s="22"/>
      <c r="BS19" s="22"/>
      <c r="BT19" s="22"/>
      <c r="BU19" s="22"/>
      <c r="BV19" s="22"/>
      <c r="BW19" s="16">
        <f t="shared" si="5"/>
        <v>0</v>
      </c>
      <c r="BX19" s="16">
        <f t="shared" ref="BX19:BX23" si="11">SUM(BK19+BN19)</f>
        <v>0</v>
      </c>
      <c r="BY19" s="14"/>
      <c r="BZ19" s="14"/>
      <c r="CA19" s="14"/>
      <c r="CB19" s="14"/>
      <c r="CC19" s="17"/>
      <c r="CD19" s="17">
        <v>45810</v>
      </c>
      <c r="CE19" s="18"/>
      <c r="CF19" s="18" t="s">
        <v>136</v>
      </c>
      <c r="CG19" s="18"/>
      <c r="CH19" s="7" t="s">
        <v>30</v>
      </c>
    </row>
    <row r="20" spans="1:86" ht="115.2" x14ac:dyDescent="0.3">
      <c r="A20" s="13">
        <f t="shared" si="0"/>
        <v>19</v>
      </c>
      <c r="B20" s="13" t="s">
        <v>270</v>
      </c>
      <c r="C20" s="13" t="s">
        <v>137</v>
      </c>
      <c r="D20" s="13" t="s">
        <v>138</v>
      </c>
      <c r="E20" s="13" t="s">
        <v>33</v>
      </c>
      <c r="F20" s="13" t="s">
        <v>25</v>
      </c>
      <c r="G20" s="14">
        <v>9821043429</v>
      </c>
      <c r="H20" s="7" t="s">
        <v>139</v>
      </c>
      <c r="I20" s="13" t="s">
        <v>271</v>
      </c>
      <c r="J20" s="14" t="s">
        <v>216</v>
      </c>
      <c r="K20" s="14"/>
      <c r="L20" s="14"/>
      <c r="M20" s="13" t="s">
        <v>461</v>
      </c>
      <c r="N20" s="13" t="s">
        <v>462</v>
      </c>
      <c r="O20" s="13" t="s">
        <v>463</v>
      </c>
      <c r="P20" s="13" t="s">
        <v>25</v>
      </c>
      <c r="Q20" s="13" t="s">
        <v>25</v>
      </c>
      <c r="R20" s="13">
        <v>400049</v>
      </c>
      <c r="S20" s="13" t="s">
        <v>464</v>
      </c>
      <c r="T20" s="13">
        <v>22</v>
      </c>
      <c r="U20" s="13" t="s">
        <v>465</v>
      </c>
      <c r="V20" s="13"/>
      <c r="W20" s="13"/>
      <c r="X20" s="13" t="s">
        <v>276</v>
      </c>
      <c r="Y20" s="13"/>
      <c r="Z20" s="13"/>
      <c r="AA20" s="13"/>
      <c r="AB20" s="13"/>
      <c r="AC20" s="13"/>
      <c r="AD20" s="13" t="s">
        <v>278</v>
      </c>
      <c r="AE20" s="13"/>
      <c r="AF20" s="13"/>
      <c r="AG20" s="13" t="s">
        <v>278</v>
      </c>
      <c r="AH20" s="13"/>
      <c r="AI20" s="13"/>
      <c r="AJ20" s="13" t="s">
        <v>278</v>
      </c>
      <c r="AK20" s="13"/>
      <c r="AL20" s="13" t="s">
        <v>278</v>
      </c>
      <c r="AM20" s="13" t="s">
        <v>278</v>
      </c>
      <c r="AN20" s="13"/>
      <c r="AO20" s="13" t="s">
        <v>278</v>
      </c>
      <c r="AP20" s="13"/>
      <c r="AQ20" s="13" t="s">
        <v>278</v>
      </c>
      <c r="AR20" s="13" t="s">
        <v>278</v>
      </c>
      <c r="AS20" s="13"/>
      <c r="AT20" s="13" t="s">
        <v>278</v>
      </c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 t="s">
        <v>466</v>
      </c>
      <c r="BH20" s="14"/>
      <c r="BI20" s="13" t="s">
        <v>467</v>
      </c>
      <c r="BJ20" s="13" t="s">
        <v>468</v>
      </c>
      <c r="BK20" s="8"/>
      <c r="BL20" s="15"/>
      <c r="BM20" s="15"/>
      <c r="BN20" s="8"/>
      <c r="BO20" s="8"/>
      <c r="BP20" s="14"/>
      <c r="BQ20" s="8"/>
      <c r="BR20" s="8"/>
      <c r="BS20" s="8"/>
      <c r="BT20" s="8"/>
      <c r="BU20" s="8"/>
      <c r="BV20" s="8"/>
      <c r="BW20" s="16">
        <f t="shared" si="5"/>
        <v>0</v>
      </c>
      <c r="BX20" s="16">
        <f t="shared" si="11"/>
        <v>0</v>
      </c>
      <c r="BY20" s="14" t="s">
        <v>140</v>
      </c>
      <c r="BZ20" s="14"/>
      <c r="CA20" s="14"/>
      <c r="CB20" s="14"/>
      <c r="CC20" s="17">
        <v>45815</v>
      </c>
      <c r="CD20" s="17">
        <v>45774</v>
      </c>
      <c r="CE20" s="18" t="s">
        <v>136</v>
      </c>
      <c r="CF20" s="18" t="s">
        <v>46</v>
      </c>
      <c r="CG20" s="18"/>
      <c r="CH20" s="7" t="s">
        <v>30</v>
      </c>
    </row>
    <row r="21" spans="1:86" ht="86.4" x14ac:dyDescent="0.3">
      <c r="A21" s="13">
        <f t="shared" si="0"/>
        <v>20</v>
      </c>
      <c r="B21" s="13" t="s">
        <v>270</v>
      </c>
      <c r="C21" s="13" t="s">
        <v>141</v>
      </c>
      <c r="D21" s="13" t="s">
        <v>142</v>
      </c>
      <c r="E21" s="13" t="s">
        <v>144</v>
      </c>
      <c r="F21" s="13" t="s">
        <v>145</v>
      </c>
      <c r="G21" s="14">
        <v>9822022211</v>
      </c>
      <c r="H21" s="14" t="s">
        <v>146</v>
      </c>
      <c r="I21" s="13" t="s">
        <v>271</v>
      </c>
      <c r="J21" s="14" t="s">
        <v>143</v>
      </c>
      <c r="K21" s="14"/>
      <c r="L21" s="14"/>
      <c r="M21" s="13" t="s">
        <v>469</v>
      </c>
      <c r="N21" s="13" t="s">
        <v>470</v>
      </c>
      <c r="O21" s="13" t="s">
        <v>471</v>
      </c>
      <c r="P21" s="13" t="s">
        <v>144</v>
      </c>
      <c r="Q21" s="13" t="s">
        <v>144</v>
      </c>
      <c r="R21" s="13">
        <v>411037</v>
      </c>
      <c r="S21" s="13" t="s">
        <v>472</v>
      </c>
      <c r="T21" s="13">
        <v>20</v>
      </c>
      <c r="U21" s="13" t="s">
        <v>473</v>
      </c>
      <c r="V21" s="13"/>
      <c r="W21" s="13"/>
      <c r="X21" s="13" t="s">
        <v>414</v>
      </c>
      <c r="Y21" s="13"/>
      <c r="Z21" s="13"/>
      <c r="AA21" s="13"/>
      <c r="AB21" s="13"/>
      <c r="AC21" s="13"/>
      <c r="AD21" s="13" t="s">
        <v>278</v>
      </c>
      <c r="AE21" s="13"/>
      <c r="AF21" s="13"/>
      <c r="AG21" s="13" t="s">
        <v>278</v>
      </c>
      <c r="AH21" s="13"/>
      <c r="AI21" s="13"/>
      <c r="AJ21" s="13" t="s">
        <v>278</v>
      </c>
      <c r="AK21" s="13"/>
      <c r="AL21" s="13" t="s">
        <v>278</v>
      </c>
      <c r="AM21" s="13" t="s">
        <v>278</v>
      </c>
      <c r="AN21" s="13"/>
      <c r="AO21" s="13" t="s">
        <v>278</v>
      </c>
      <c r="AP21" s="13"/>
      <c r="AQ21" s="13" t="s">
        <v>278</v>
      </c>
      <c r="AR21" s="13" t="s">
        <v>278</v>
      </c>
      <c r="AS21" s="13"/>
      <c r="AT21" s="13" t="s">
        <v>278</v>
      </c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 t="s">
        <v>474</v>
      </c>
      <c r="BH21" s="14"/>
      <c r="BI21" s="13" t="s">
        <v>475</v>
      </c>
      <c r="BJ21" s="13" t="s">
        <v>476</v>
      </c>
      <c r="BK21" s="8"/>
      <c r="BL21" s="15"/>
      <c r="BM21" s="15"/>
      <c r="BN21" s="8"/>
      <c r="BO21" s="8"/>
      <c r="BP21" s="14"/>
      <c r="BQ21" s="8"/>
      <c r="BR21" s="8"/>
      <c r="BS21" s="8"/>
      <c r="BT21" s="8"/>
      <c r="BU21" s="8"/>
      <c r="BV21" s="8"/>
      <c r="BW21" s="16">
        <f t="shared" si="5"/>
        <v>0</v>
      </c>
      <c r="BX21" s="16">
        <f t="shared" si="11"/>
        <v>0</v>
      </c>
      <c r="BY21" s="14" t="s">
        <v>147</v>
      </c>
      <c r="BZ21" s="14"/>
      <c r="CA21" s="14"/>
      <c r="CB21" s="14"/>
      <c r="CC21" s="17">
        <v>45842</v>
      </c>
      <c r="CD21" s="17">
        <v>45993</v>
      </c>
      <c r="CE21" s="18" t="s">
        <v>98</v>
      </c>
      <c r="CF21" s="18" t="s">
        <v>37</v>
      </c>
      <c r="CG21" s="18" t="s">
        <v>148</v>
      </c>
      <c r="CH21" s="7" t="s">
        <v>30</v>
      </c>
    </row>
    <row r="22" spans="1:86" ht="57.6" x14ac:dyDescent="0.3">
      <c r="A22" s="13">
        <f t="shared" si="0"/>
        <v>21</v>
      </c>
      <c r="B22" s="13" t="s">
        <v>270</v>
      </c>
      <c r="C22" s="13" t="s">
        <v>149</v>
      </c>
      <c r="D22" s="13" t="s">
        <v>150</v>
      </c>
      <c r="E22" s="13" t="s">
        <v>67</v>
      </c>
      <c r="F22" s="13" t="s">
        <v>68</v>
      </c>
      <c r="G22" s="14">
        <v>9811119442</v>
      </c>
      <c r="H22" s="14" t="s">
        <v>153</v>
      </c>
      <c r="I22" s="13" t="s">
        <v>271</v>
      </c>
      <c r="J22" s="14" t="s">
        <v>151</v>
      </c>
      <c r="K22" s="14" t="s">
        <v>152</v>
      </c>
      <c r="L22" s="14"/>
      <c r="M22" s="13" t="s">
        <v>477</v>
      </c>
      <c r="N22" s="13" t="s">
        <v>278</v>
      </c>
      <c r="O22" s="13" t="s">
        <v>278</v>
      </c>
      <c r="P22" s="13" t="s">
        <v>67</v>
      </c>
      <c r="Q22" s="13" t="s">
        <v>67</v>
      </c>
      <c r="R22" s="13">
        <v>110025</v>
      </c>
      <c r="S22" s="13" t="s">
        <v>478</v>
      </c>
      <c r="T22" s="13">
        <v>11</v>
      </c>
      <c r="U22" s="13">
        <v>26915555</v>
      </c>
      <c r="V22" s="13" t="s">
        <v>333</v>
      </c>
      <c r="W22" s="13" t="s">
        <v>479</v>
      </c>
      <c r="X22" s="13" t="s">
        <v>414</v>
      </c>
      <c r="Y22" s="13"/>
      <c r="Z22" s="13" t="s">
        <v>285</v>
      </c>
      <c r="AA22" s="13"/>
      <c r="AB22" s="13"/>
      <c r="AC22" s="13"/>
      <c r="AD22" s="13" t="s">
        <v>480</v>
      </c>
      <c r="AE22" s="19">
        <v>24146</v>
      </c>
      <c r="AF22" s="13"/>
      <c r="AG22" s="13" t="s">
        <v>481</v>
      </c>
      <c r="AH22" s="13"/>
      <c r="AI22" s="19">
        <v>32394</v>
      </c>
      <c r="AJ22" s="13" t="s">
        <v>305</v>
      </c>
      <c r="AK22" s="13" t="s">
        <v>287</v>
      </c>
      <c r="AL22" s="13" t="s">
        <v>482</v>
      </c>
      <c r="AM22" s="13"/>
      <c r="AN22" s="19">
        <v>33181</v>
      </c>
      <c r="AO22" s="13" t="s">
        <v>293</v>
      </c>
      <c r="AP22" s="13" t="s">
        <v>287</v>
      </c>
      <c r="AQ22" s="13" t="s">
        <v>278</v>
      </c>
      <c r="AR22" s="13"/>
      <c r="AS22" s="13"/>
      <c r="AT22" s="13"/>
      <c r="AU22" s="13"/>
      <c r="AV22" s="13" t="s">
        <v>278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 t="s">
        <v>483</v>
      </c>
      <c r="BH22" s="14"/>
      <c r="BI22" s="13" t="s">
        <v>484</v>
      </c>
      <c r="BJ22" s="13">
        <v>46449999</v>
      </c>
      <c r="BK22" s="8"/>
      <c r="BL22" s="15"/>
      <c r="BM22" s="15"/>
      <c r="BN22" s="8"/>
      <c r="BO22" s="8"/>
      <c r="BP22" s="24"/>
      <c r="BQ22" s="8"/>
      <c r="BR22" s="8"/>
      <c r="BS22" s="8"/>
      <c r="BT22" s="8"/>
      <c r="BU22" s="8"/>
      <c r="BV22" s="8"/>
      <c r="BW22" s="16">
        <f t="shared" si="5"/>
        <v>0</v>
      </c>
      <c r="BX22" s="16">
        <f t="shared" si="11"/>
        <v>0</v>
      </c>
      <c r="BY22" s="14"/>
      <c r="BZ22" s="14"/>
      <c r="CA22" s="14"/>
      <c r="CB22" s="14"/>
      <c r="CC22" s="17">
        <v>45865</v>
      </c>
      <c r="CD22" s="17">
        <v>45813</v>
      </c>
      <c r="CE22" s="18" t="s">
        <v>98</v>
      </c>
      <c r="CF22" s="18" t="s">
        <v>136</v>
      </c>
      <c r="CG22" s="18" t="s">
        <v>154</v>
      </c>
      <c r="CH22" s="7" t="s">
        <v>30</v>
      </c>
    </row>
    <row r="23" spans="1:86" ht="86.4" x14ac:dyDescent="0.3">
      <c r="A23" s="13">
        <f t="shared" si="0"/>
        <v>22</v>
      </c>
      <c r="B23" s="13" t="s">
        <v>270</v>
      </c>
      <c r="C23" s="13" t="s">
        <v>155</v>
      </c>
      <c r="D23" s="13" t="s">
        <v>156</v>
      </c>
      <c r="E23" s="13" t="s">
        <v>159</v>
      </c>
      <c r="F23" s="13" t="s">
        <v>63</v>
      </c>
      <c r="G23" s="14" t="s">
        <v>160</v>
      </c>
      <c r="H23" s="14" t="s">
        <v>161</v>
      </c>
      <c r="I23" s="13" t="s">
        <v>271</v>
      </c>
      <c r="J23" s="14" t="s">
        <v>157</v>
      </c>
      <c r="K23" s="14" t="s">
        <v>158</v>
      </c>
      <c r="L23" s="14"/>
      <c r="M23" s="13" t="s">
        <v>485</v>
      </c>
      <c r="N23" s="13" t="s">
        <v>486</v>
      </c>
      <c r="O23" s="13" t="s">
        <v>487</v>
      </c>
      <c r="P23" s="13" t="s">
        <v>159</v>
      </c>
      <c r="Q23" s="13" t="s">
        <v>159</v>
      </c>
      <c r="R23" s="13">
        <v>395007</v>
      </c>
      <c r="S23" s="13" t="s">
        <v>488</v>
      </c>
      <c r="T23" s="13"/>
      <c r="U23" s="13"/>
      <c r="V23" s="13"/>
      <c r="W23" s="13"/>
      <c r="X23" s="13" t="s">
        <v>276</v>
      </c>
      <c r="Y23" s="13"/>
      <c r="Z23" s="13"/>
      <c r="AA23" s="13"/>
      <c r="AB23" s="13"/>
      <c r="AC23" s="13"/>
      <c r="AD23" s="13" t="s">
        <v>489</v>
      </c>
      <c r="AE23" s="19">
        <v>41878</v>
      </c>
      <c r="AF23" s="13"/>
      <c r="AG23" s="13" t="s">
        <v>490</v>
      </c>
      <c r="AH23" s="13" t="s">
        <v>271</v>
      </c>
      <c r="AI23" s="19">
        <v>32529</v>
      </c>
      <c r="AJ23" s="13" t="s">
        <v>290</v>
      </c>
      <c r="AK23" s="13"/>
      <c r="AL23" s="13" t="s">
        <v>491</v>
      </c>
      <c r="AM23" s="13" t="s">
        <v>289</v>
      </c>
      <c r="AN23" s="19">
        <v>34303</v>
      </c>
      <c r="AO23" s="13" t="s">
        <v>293</v>
      </c>
      <c r="AP23" s="13"/>
      <c r="AQ23" s="13" t="s">
        <v>278</v>
      </c>
      <c r="AR23" s="13" t="s">
        <v>278</v>
      </c>
      <c r="AS23" s="13"/>
      <c r="AT23" s="13" t="s">
        <v>278</v>
      </c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 t="s">
        <v>492</v>
      </c>
      <c r="BH23" s="14"/>
      <c r="BI23" s="13" t="s">
        <v>493</v>
      </c>
      <c r="BJ23" s="13">
        <v>2474714</v>
      </c>
      <c r="BK23" s="8"/>
      <c r="BL23" s="15"/>
      <c r="BM23" s="15"/>
      <c r="BN23" s="8"/>
      <c r="BO23" s="8"/>
      <c r="BP23" s="14"/>
      <c r="BQ23" s="8"/>
      <c r="BR23" s="8"/>
      <c r="BS23" s="8"/>
      <c r="BT23" s="8"/>
      <c r="BU23" s="8"/>
      <c r="BV23" s="8"/>
      <c r="BW23" s="16">
        <f t="shared" si="5"/>
        <v>0</v>
      </c>
      <c r="BX23" s="16">
        <f t="shared" si="11"/>
        <v>0</v>
      </c>
      <c r="BY23" s="14" t="s">
        <v>162</v>
      </c>
      <c r="BZ23" s="14"/>
      <c r="CA23" s="14"/>
      <c r="CB23" s="14"/>
      <c r="CC23" s="17">
        <v>45834</v>
      </c>
      <c r="CD23" s="17">
        <v>46020</v>
      </c>
      <c r="CE23" s="18" t="s">
        <v>136</v>
      </c>
      <c r="CF23" s="18" t="s">
        <v>37</v>
      </c>
      <c r="CG23" s="18"/>
      <c r="CH23" s="7" t="s">
        <v>30</v>
      </c>
    </row>
    <row r="24" spans="1:86" ht="158.4" x14ac:dyDescent="0.3">
      <c r="A24" s="13">
        <f t="shared" si="0"/>
        <v>23</v>
      </c>
      <c r="B24" s="13" t="s">
        <v>270</v>
      </c>
      <c r="C24" s="13" t="s">
        <v>163</v>
      </c>
      <c r="D24" s="13" t="s">
        <v>164</v>
      </c>
      <c r="E24" s="13" t="s">
        <v>24</v>
      </c>
      <c r="F24" s="13" t="s">
        <v>25</v>
      </c>
      <c r="G24" s="14">
        <v>9892344222</v>
      </c>
      <c r="H24" s="14" t="s">
        <v>167</v>
      </c>
      <c r="I24" s="13" t="s">
        <v>271</v>
      </c>
      <c r="J24" s="14" t="s">
        <v>166</v>
      </c>
      <c r="K24" s="14"/>
      <c r="L24" s="14"/>
      <c r="M24" s="13" t="s">
        <v>494</v>
      </c>
      <c r="N24" s="13" t="s">
        <v>495</v>
      </c>
      <c r="O24" s="13" t="s">
        <v>496</v>
      </c>
      <c r="P24" s="13" t="s">
        <v>25</v>
      </c>
      <c r="Q24" s="13" t="s">
        <v>25</v>
      </c>
      <c r="R24" s="13">
        <v>400021</v>
      </c>
      <c r="S24" s="13" t="s">
        <v>497</v>
      </c>
      <c r="T24" s="13"/>
      <c r="U24" s="13"/>
      <c r="V24" s="13"/>
      <c r="W24" s="13"/>
      <c r="X24" s="13" t="s">
        <v>276</v>
      </c>
      <c r="Y24" s="13"/>
      <c r="Z24" s="13" t="s">
        <v>350</v>
      </c>
      <c r="AA24" s="13"/>
      <c r="AB24" s="13"/>
      <c r="AC24" s="13"/>
      <c r="AD24" s="13" t="s">
        <v>498</v>
      </c>
      <c r="AE24" s="19">
        <v>41825</v>
      </c>
      <c r="AF24" s="13" t="s">
        <v>291</v>
      </c>
      <c r="AG24" s="13" t="s">
        <v>499</v>
      </c>
      <c r="AH24" s="13" t="s">
        <v>271</v>
      </c>
      <c r="AI24" s="19">
        <v>35353</v>
      </c>
      <c r="AJ24" s="13" t="s">
        <v>290</v>
      </c>
      <c r="AK24" s="13" t="s">
        <v>291</v>
      </c>
      <c r="AL24" s="13" t="s">
        <v>500</v>
      </c>
      <c r="AM24" s="13" t="s">
        <v>271</v>
      </c>
      <c r="AN24" s="19">
        <v>36058</v>
      </c>
      <c r="AO24" s="13" t="s">
        <v>293</v>
      </c>
      <c r="AP24" s="13" t="s">
        <v>291</v>
      </c>
      <c r="AQ24" s="13" t="s">
        <v>278</v>
      </c>
      <c r="AR24" s="13" t="s">
        <v>278</v>
      </c>
      <c r="AS24" s="13"/>
      <c r="AT24" s="13" t="s">
        <v>278</v>
      </c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 t="s">
        <v>501</v>
      </c>
      <c r="BH24" s="14" t="s">
        <v>165</v>
      </c>
      <c r="BI24" s="13" t="s">
        <v>502</v>
      </c>
      <c r="BJ24" s="13" t="s">
        <v>503</v>
      </c>
      <c r="BK24" s="8"/>
      <c r="BL24" s="15"/>
      <c r="BM24" s="15"/>
      <c r="BN24" s="8"/>
      <c r="BO24" s="8"/>
      <c r="BP24" s="14"/>
      <c r="BQ24" s="8"/>
      <c r="BR24" s="8"/>
      <c r="BS24" s="8"/>
      <c r="BT24" s="8"/>
      <c r="BU24" s="8"/>
      <c r="BV24" s="8"/>
      <c r="BW24" s="16">
        <f t="shared" si="5"/>
        <v>0</v>
      </c>
      <c r="BX24" s="16">
        <f t="shared" ref="BX24:BX25" si="12">SUM(BK24+BN24)</f>
        <v>0</v>
      </c>
      <c r="BY24" s="14"/>
      <c r="BZ24" s="14"/>
      <c r="CA24" s="14"/>
      <c r="CB24" s="14"/>
      <c r="CC24" s="17">
        <v>45743</v>
      </c>
      <c r="CD24" s="17">
        <v>45994</v>
      </c>
      <c r="CE24" s="18" t="s">
        <v>168</v>
      </c>
      <c r="CF24" s="18" t="s">
        <v>37</v>
      </c>
      <c r="CG24" s="18"/>
      <c r="CH24" s="7" t="s">
        <v>30</v>
      </c>
    </row>
    <row r="25" spans="1:86" ht="72" x14ac:dyDescent="0.3">
      <c r="A25" s="13">
        <f t="shared" si="0"/>
        <v>24</v>
      </c>
      <c r="B25" s="13" t="s">
        <v>270</v>
      </c>
      <c r="C25" s="13" t="s">
        <v>169</v>
      </c>
      <c r="D25" s="13" t="s">
        <v>170</v>
      </c>
      <c r="E25" s="13" t="s">
        <v>33</v>
      </c>
      <c r="F25" s="13" t="s">
        <v>25</v>
      </c>
      <c r="G25" s="14">
        <v>9769606009</v>
      </c>
      <c r="H25" s="14" t="s">
        <v>173</v>
      </c>
      <c r="I25" s="13" t="s">
        <v>271</v>
      </c>
      <c r="J25" s="14" t="s">
        <v>171</v>
      </c>
      <c r="K25" s="14" t="s">
        <v>172</v>
      </c>
      <c r="L25" s="14"/>
      <c r="M25" s="13" t="s">
        <v>504</v>
      </c>
      <c r="N25" s="13" t="s">
        <v>505</v>
      </c>
      <c r="O25" s="13" t="s">
        <v>506</v>
      </c>
      <c r="P25" s="13" t="s">
        <v>25</v>
      </c>
      <c r="Q25" s="13" t="s">
        <v>25</v>
      </c>
      <c r="R25" s="13">
        <v>400056</v>
      </c>
      <c r="S25" s="13" t="s">
        <v>507</v>
      </c>
      <c r="T25" s="13">
        <v>22</v>
      </c>
      <c r="U25" s="13" t="s">
        <v>508</v>
      </c>
      <c r="V25" s="13"/>
      <c r="W25" s="13"/>
      <c r="X25" s="13" t="s">
        <v>414</v>
      </c>
      <c r="Y25" s="13"/>
      <c r="Z25" s="13" t="s">
        <v>377</v>
      </c>
      <c r="AA25" s="13"/>
      <c r="AB25" s="13"/>
      <c r="AC25" s="13"/>
      <c r="AD25" s="13" t="s">
        <v>509</v>
      </c>
      <c r="AE25" s="19">
        <v>41932</v>
      </c>
      <c r="AF25" s="13" t="s">
        <v>291</v>
      </c>
      <c r="AG25" s="13" t="s">
        <v>510</v>
      </c>
      <c r="AH25" s="13" t="s">
        <v>289</v>
      </c>
      <c r="AI25" s="19">
        <v>41962</v>
      </c>
      <c r="AJ25" s="13" t="s">
        <v>290</v>
      </c>
      <c r="AK25" s="13" t="s">
        <v>303</v>
      </c>
      <c r="AL25" s="13" t="s">
        <v>511</v>
      </c>
      <c r="AM25" s="13" t="s">
        <v>271</v>
      </c>
      <c r="AN25" s="19">
        <v>41720</v>
      </c>
      <c r="AO25" s="13" t="s">
        <v>293</v>
      </c>
      <c r="AP25" s="13" t="s">
        <v>303</v>
      </c>
      <c r="AQ25" s="13" t="s">
        <v>512</v>
      </c>
      <c r="AR25" s="13" t="s">
        <v>289</v>
      </c>
      <c r="AS25" s="19">
        <v>41872</v>
      </c>
      <c r="AT25" s="13" t="s">
        <v>293</v>
      </c>
      <c r="AU25" s="13" t="s">
        <v>291</v>
      </c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 t="s">
        <v>513</v>
      </c>
      <c r="BH25" s="14"/>
      <c r="BI25" s="13" t="s">
        <v>514</v>
      </c>
      <c r="BJ25" s="13" t="s">
        <v>515</v>
      </c>
      <c r="BK25" s="22"/>
      <c r="BL25" s="15"/>
      <c r="BM25" s="15"/>
      <c r="BN25" s="8"/>
      <c r="BO25" s="8"/>
      <c r="BP25" s="14"/>
      <c r="BQ25" s="8"/>
      <c r="BR25" s="8"/>
      <c r="BS25" s="8"/>
      <c r="BT25" s="8"/>
      <c r="BU25" s="8"/>
      <c r="BV25" s="8"/>
      <c r="BW25" s="16">
        <f t="shared" si="5"/>
        <v>0</v>
      </c>
      <c r="BX25" s="16">
        <f t="shared" si="12"/>
        <v>0</v>
      </c>
      <c r="BY25" s="14"/>
      <c r="BZ25" s="14"/>
      <c r="CA25" s="14"/>
      <c r="CB25" s="14"/>
      <c r="CC25" s="17">
        <v>45866</v>
      </c>
      <c r="CD25" s="17">
        <v>45697</v>
      </c>
      <c r="CE25" s="18" t="s">
        <v>98</v>
      </c>
      <c r="CF25" s="18" t="s">
        <v>29</v>
      </c>
      <c r="CG25" s="18"/>
      <c r="CH25" s="7" t="s">
        <v>30</v>
      </c>
    </row>
    <row r="26" spans="1:86" ht="100.8" x14ac:dyDescent="0.3">
      <c r="A26" s="13">
        <f t="shared" si="0"/>
        <v>25</v>
      </c>
      <c r="B26" s="13" t="s">
        <v>270</v>
      </c>
      <c r="C26" s="13" t="s">
        <v>541</v>
      </c>
      <c r="D26" s="14" t="s">
        <v>542</v>
      </c>
      <c r="E26" s="14" t="s">
        <v>105</v>
      </c>
      <c r="F26" s="14" t="s">
        <v>106</v>
      </c>
      <c r="G26" s="14">
        <v>9884050177</v>
      </c>
      <c r="H26" s="11" t="s">
        <v>543</v>
      </c>
      <c r="I26" s="13" t="s">
        <v>271</v>
      </c>
      <c r="J26" s="14" t="s">
        <v>544</v>
      </c>
      <c r="K26" s="14" t="s">
        <v>545</v>
      </c>
      <c r="L26" s="12" t="s">
        <v>546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4" t="s">
        <v>547</v>
      </c>
      <c r="AE26" s="19"/>
      <c r="AF26" s="13"/>
      <c r="AG26" s="13"/>
      <c r="AH26" s="13"/>
      <c r="AI26" s="19"/>
      <c r="AJ26" s="13"/>
      <c r="AK26" s="13"/>
      <c r="AL26" s="13"/>
      <c r="AM26" s="13"/>
      <c r="AN26" s="19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 s="13"/>
      <c r="BJ26" s="13"/>
      <c r="BK26" s="8"/>
      <c r="BL26" s="15"/>
      <c r="BM26" s="15"/>
      <c r="BN26" s="8"/>
      <c r="BO26" s="8"/>
      <c r="BP26" s="14"/>
      <c r="BQ26" s="8"/>
      <c r="BR26" s="8"/>
      <c r="BS26" s="8"/>
      <c r="BT26" s="8"/>
      <c r="BU26" s="8"/>
      <c r="BV26" s="8"/>
      <c r="BW26" s="16"/>
      <c r="BX26" s="16"/>
      <c r="BY26" s="14"/>
      <c r="BZ26" s="14"/>
      <c r="CA26" s="14"/>
      <c r="CB26" s="14"/>
      <c r="CC26" s="17">
        <v>45913</v>
      </c>
      <c r="CD26" s="17">
        <v>45692</v>
      </c>
      <c r="CE26" s="18" t="s">
        <v>28</v>
      </c>
      <c r="CF26" s="18" t="s">
        <v>29</v>
      </c>
      <c r="CG26" s="18"/>
      <c r="CH26" s="7" t="s">
        <v>30</v>
      </c>
    </row>
    <row r="27" spans="1:86" ht="129.6" x14ac:dyDescent="0.3">
      <c r="A27" s="13"/>
      <c r="B27" s="13" t="s">
        <v>548</v>
      </c>
      <c r="C27" s="13" t="s">
        <v>549</v>
      </c>
      <c r="D27" s="25" t="s">
        <v>553</v>
      </c>
      <c r="E27" s="14" t="s">
        <v>105</v>
      </c>
      <c r="F27" s="26" t="s">
        <v>106</v>
      </c>
      <c r="G27" s="24">
        <v>9952022071</v>
      </c>
      <c r="H27" s="27" t="s">
        <v>550</v>
      </c>
      <c r="I27" s="13" t="s">
        <v>271</v>
      </c>
      <c r="J27" s="12" t="s">
        <v>551</v>
      </c>
      <c r="K27" s="12" t="s">
        <v>552</v>
      </c>
      <c r="L27" s="1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4"/>
      <c r="AE27" s="19"/>
      <c r="AF27" s="13"/>
      <c r="AG27" s="13"/>
      <c r="AH27" s="13"/>
      <c r="AI27" s="19"/>
      <c r="AJ27" s="13"/>
      <c r="AK27" s="13"/>
      <c r="AL27" s="13"/>
      <c r="AM27" s="13"/>
      <c r="AN27" s="19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 s="13"/>
      <c r="BJ27" s="13"/>
      <c r="BK27" s="8"/>
      <c r="BL27" s="15"/>
      <c r="BM27" s="15"/>
      <c r="BN27" s="8"/>
      <c r="BO27" s="8"/>
      <c r="BP27" s="14"/>
      <c r="BQ27" s="8"/>
      <c r="BR27" s="8"/>
      <c r="BS27" s="8"/>
      <c r="BT27" s="8"/>
      <c r="BU27" s="8"/>
      <c r="BV27" s="8"/>
      <c r="BW27" s="16"/>
      <c r="BX27" s="16"/>
      <c r="BY27" s="14"/>
      <c r="BZ27" s="14"/>
      <c r="CA27" s="14"/>
      <c r="CB27" s="14"/>
      <c r="CC27" s="28" t="s">
        <v>540</v>
      </c>
      <c r="CD27" s="28" t="s">
        <v>540</v>
      </c>
      <c r="CE27" s="18" t="s">
        <v>540</v>
      </c>
      <c r="CF27" s="18" t="s">
        <v>540</v>
      </c>
      <c r="CG27" s="18"/>
      <c r="CH27" s="7"/>
    </row>
    <row r="28" spans="1:86" ht="86.4" x14ac:dyDescent="0.3">
      <c r="A28" s="13">
        <f>A26+1</f>
        <v>26</v>
      </c>
      <c r="B28" s="13" t="s">
        <v>270</v>
      </c>
      <c r="C28" s="13" t="s">
        <v>174</v>
      </c>
      <c r="D28" s="13" t="s">
        <v>175</v>
      </c>
      <c r="E28" s="13" t="s">
        <v>33</v>
      </c>
      <c r="F28" s="13" t="s">
        <v>25</v>
      </c>
      <c r="G28" s="14">
        <v>9821092439</v>
      </c>
      <c r="H28" s="7" t="s">
        <v>176</v>
      </c>
      <c r="I28" s="13" t="s">
        <v>271</v>
      </c>
      <c r="J28" s="14" t="s">
        <v>217</v>
      </c>
      <c r="K28" s="14"/>
      <c r="L28" s="14"/>
      <c r="M28" s="13" t="s">
        <v>516</v>
      </c>
      <c r="N28" s="13" t="s">
        <v>517</v>
      </c>
      <c r="O28" s="13" t="s">
        <v>518</v>
      </c>
      <c r="P28" s="13" t="s">
        <v>25</v>
      </c>
      <c r="Q28" s="13" t="s">
        <v>25</v>
      </c>
      <c r="R28" s="13">
        <v>400049</v>
      </c>
      <c r="S28" s="13" t="s">
        <v>519</v>
      </c>
      <c r="T28" s="13">
        <v>22</v>
      </c>
      <c r="U28" s="13">
        <v>26704513</v>
      </c>
      <c r="V28" s="13"/>
      <c r="W28" s="13"/>
      <c r="X28" s="13" t="s">
        <v>276</v>
      </c>
      <c r="Y28" s="13"/>
      <c r="Z28" s="13" t="s">
        <v>377</v>
      </c>
      <c r="AA28" s="13"/>
      <c r="AB28" s="13"/>
      <c r="AC28" s="13"/>
      <c r="AD28" s="13" t="s">
        <v>520</v>
      </c>
      <c r="AE28" s="19">
        <v>25441</v>
      </c>
      <c r="AF28" s="13"/>
      <c r="AG28" s="13" t="s">
        <v>521</v>
      </c>
      <c r="AH28" s="13" t="s">
        <v>289</v>
      </c>
      <c r="AI28" s="19">
        <v>30069</v>
      </c>
      <c r="AJ28" s="13" t="s">
        <v>305</v>
      </c>
      <c r="AK28" s="13" t="s">
        <v>291</v>
      </c>
      <c r="AL28" s="13" t="s">
        <v>522</v>
      </c>
      <c r="AM28" s="13" t="s">
        <v>271</v>
      </c>
      <c r="AN28" s="19">
        <v>31300</v>
      </c>
      <c r="AO28" s="13" t="s">
        <v>305</v>
      </c>
      <c r="AP28" s="13" t="s">
        <v>287</v>
      </c>
      <c r="AQ28" s="13" t="s">
        <v>278</v>
      </c>
      <c r="AR28" s="13" t="s">
        <v>278</v>
      </c>
      <c r="AS28" s="13"/>
      <c r="AT28" s="13" t="s">
        <v>278</v>
      </c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 t="s">
        <v>523</v>
      </c>
      <c r="BH28" s="14"/>
      <c r="BI28" s="13" t="s">
        <v>524</v>
      </c>
      <c r="BJ28" s="13">
        <v>67319500</v>
      </c>
      <c r="BK28" s="8"/>
      <c r="BL28" s="15"/>
      <c r="BM28" s="15"/>
      <c r="BN28" s="8"/>
      <c r="BO28" s="8"/>
      <c r="BP28" s="14"/>
      <c r="BQ28" s="8"/>
      <c r="BR28" s="8"/>
      <c r="BS28" s="8"/>
      <c r="BT28" s="8"/>
      <c r="BU28" s="8"/>
      <c r="BV28" s="8"/>
      <c r="BW28" s="16">
        <f t="shared" si="5"/>
        <v>0</v>
      </c>
      <c r="BX28" s="16">
        <f t="shared" ref="BX28" si="13">SUM(BK28+BN28)</f>
        <v>0</v>
      </c>
      <c r="BY28" s="14" t="s">
        <v>177</v>
      </c>
      <c r="BZ28" s="14"/>
      <c r="CA28" s="14"/>
      <c r="CB28" s="14"/>
      <c r="CC28" s="17">
        <v>45682</v>
      </c>
      <c r="CD28" s="17">
        <v>45678</v>
      </c>
      <c r="CE28" s="18" t="s">
        <v>55</v>
      </c>
      <c r="CF28" s="18" t="s">
        <v>55</v>
      </c>
      <c r="CG28" s="18" t="s">
        <v>178</v>
      </c>
      <c r="CH28" s="7" t="s">
        <v>30</v>
      </c>
    </row>
    <row r="29" spans="1:86" ht="201.6" x14ac:dyDescent="0.3">
      <c r="A29" s="13">
        <f t="shared" si="0"/>
        <v>27</v>
      </c>
      <c r="B29" s="13" t="s">
        <v>270</v>
      </c>
      <c r="C29" s="13" t="s">
        <v>179</v>
      </c>
      <c r="D29" s="13" t="s">
        <v>180</v>
      </c>
      <c r="E29" s="13" t="s">
        <v>62</v>
      </c>
      <c r="F29" s="13" t="s">
        <v>63</v>
      </c>
      <c r="G29" s="14" t="s">
        <v>183</v>
      </c>
      <c r="H29" s="14" t="s">
        <v>184</v>
      </c>
      <c r="I29" s="13" t="s">
        <v>271</v>
      </c>
      <c r="J29" s="14" t="s">
        <v>181</v>
      </c>
      <c r="K29" s="14" t="s">
        <v>182</v>
      </c>
      <c r="L29" s="14"/>
      <c r="M29" s="13" t="s">
        <v>525</v>
      </c>
      <c r="N29" s="13" t="s">
        <v>526</v>
      </c>
      <c r="O29" s="13" t="s">
        <v>527</v>
      </c>
      <c r="P29" s="13" t="s">
        <v>62</v>
      </c>
      <c r="Q29" s="13" t="s">
        <v>62</v>
      </c>
      <c r="R29" s="13">
        <v>380054</v>
      </c>
      <c r="S29" s="13" t="s">
        <v>528</v>
      </c>
      <c r="T29" s="13">
        <v>79</v>
      </c>
      <c r="U29" s="13">
        <v>27470594</v>
      </c>
      <c r="V29" s="13"/>
      <c r="W29" s="13"/>
      <c r="X29" s="13" t="s">
        <v>276</v>
      </c>
      <c r="Y29" s="13"/>
      <c r="Z29" s="13" t="s">
        <v>285</v>
      </c>
      <c r="AA29" s="13"/>
      <c r="AB29" s="13"/>
      <c r="AC29" s="13"/>
      <c r="AD29" s="13" t="s">
        <v>529</v>
      </c>
      <c r="AE29" s="19">
        <v>41738</v>
      </c>
      <c r="AF29" s="13" t="s">
        <v>352</v>
      </c>
      <c r="AG29" s="13" t="s">
        <v>530</v>
      </c>
      <c r="AH29" s="13" t="s">
        <v>289</v>
      </c>
      <c r="AI29" s="19">
        <v>41858</v>
      </c>
      <c r="AJ29" s="13" t="s">
        <v>290</v>
      </c>
      <c r="AK29" s="13" t="s">
        <v>287</v>
      </c>
      <c r="AL29" s="13" t="s">
        <v>531</v>
      </c>
      <c r="AM29" s="13" t="s">
        <v>289</v>
      </c>
      <c r="AN29" s="19">
        <v>41786</v>
      </c>
      <c r="AO29" s="13" t="s">
        <v>293</v>
      </c>
      <c r="AP29" s="13" t="s">
        <v>532</v>
      </c>
      <c r="AQ29" s="13" t="s">
        <v>278</v>
      </c>
      <c r="AR29" s="13" t="s">
        <v>278</v>
      </c>
      <c r="AS29" s="13"/>
      <c r="AT29" s="13" t="s">
        <v>278</v>
      </c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 t="s">
        <v>533</v>
      </c>
      <c r="BH29" s="14"/>
      <c r="BI29" s="13" t="s">
        <v>534</v>
      </c>
      <c r="BJ29" s="13" t="s">
        <v>535</v>
      </c>
      <c r="BK29" s="8"/>
      <c r="BL29" s="15"/>
      <c r="BM29" s="15"/>
      <c r="BN29" s="8"/>
      <c r="BO29" s="8"/>
      <c r="BP29" s="14"/>
      <c r="BQ29" s="8"/>
      <c r="BR29" s="8"/>
      <c r="BS29" s="8"/>
      <c r="BT29" s="8"/>
      <c r="BU29" s="8"/>
      <c r="BV29" s="8"/>
      <c r="BW29" s="16">
        <f t="shared" si="5"/>
        <v>0</v>
      </c>
      <c r="BX29" s="16">
        <f t="shared" ref="BX29" si="14">SUM(BK29+BN29)</f>
        <v>0</v>
      </c>
      <c r="BY29" s="14" t="s">
        <v>185</v>
      </c>
      <c r="BZ29" s="14"/>
      <c r="CA29" s="14"/>
      <c r="CB29" s="14"/>
      <c r="CC29" s="17">
        <v>45707</v>
      </c>
      <c r="CD29" s="17">
        <v>45715</v>
      </c>
      <c r="CE29" s="18" t="s">
        <v>29</v>
      </c>
      <c r="CF29" s="18" t="s">
        <v>29</v>
      </c>
      <c r="CG29" s="18"/>
      <c r="CH29" s="7" t="s">
        <v>30</v>
      </c>
    </row>
    <row r="30" spans="1:86" x14ac:dyDescent="0.3">
      <c r="A30" s="13">
        <f t="shared" si="0"/>
        <v>28</v>
      </c>
      <c r="B30" s="13" t="s">
        <v>270</v>
      </c>
      <c r="C30" s="13" t="s">
        <v>192</v>
      </c>
      <c r="D30" s="13" t="s">
        <v>540</v>
      </c>
      <c r="E30" s="13" t="s">
        <v>540</v>
      </c>
      <c r="F30" s="13" t="s">
        <v>540</v>
      </c>
      <c r="G30" s="13" t="s">
        <v>540</v>
      </c>
      <c r="H30" s="13" t="s">
        <v>540</v>
      </c>
      <c r="I30" s="13" t="s">
        <v>540</v>
      </c>
      <c r="J30" s="13" t="s">
        <v>540</v>
      </c>
      <c r="K30" s="13" t="s">
        <v>540</v>
      </c>
      <c r="L30" s="13" t="s">
        <v>540</v>
      </c>
      <c r="M30" s="13" t="s">
        <v>540</v>
      </c>
      <c r="N30" s="13" t="s">
        <v>540</v>
      </c>
      <c r="O30" s="13" t="s">
        <v>540</v>
      </c>
      <c r="P30" s="13" t="s">
        <v>540</v>
      </c>
      <c r="Q30" s="13" t="s">
        <v>540</v>
      </c>
      <c r="R30" s="13" t="s">
        <v>540</v>
      </c>
      <c r="S30" s="13" t="s">
        <v>540</v>
      </c>
      <c r="T30" s="13" t="s">
        <v>540</v>
      </c>
      <c r="U30" s="13" t="s">
        <v>540</v>
      </c>
      <c r="V30" s="13" t="s">
        <v>540</v>
      </c>
      <c r="W30" s="13" t="s">
        <v>540</v>
      </c>
      <c r="X30" s="13" t="s">
        <v>540</v>
      </c>
      <c r="Y30" s="13" t="s">
        <v>540</v>
      </c>
      <c r="Z30" s="13" t="s">
        <v>540</v>
      </c>
      <c r="AA30" s="13" t="s">
        <v>540</v>
      </c>
      <c r="AB30" s="13" t="s">
        <v>540</v>
      </c>
      <c r="AC30" s="13" t="s">
        <v>540</v>
      </c>
      <c r="AD30" s="13" t="s">
        <v>540</v>
      </c>
      <c r="AE30" s="13" t="s">
        <v>540</v>
      </c>
      <c r="AF30" s="13" t="s">
        <v>540</v>
      </c>
      <c r="AG30" s="13" t="s">
        <v>540</v>
      </c>
      <c r="AH30" s="13" t="s">
        <v>540</v>
      </c>
      <c r="AI30" s="13" t="s">
        <v>540</v>
      </c>
      <c r="AJ30" s="13" t="s">
        <v>540</v>
      </c>
      <c r="AK30" s="13" t="s">
        <v>540</v>
      </c>
      <c r="AL30" s="13" t="s">
        <v>540</v>
      </c>
      <c r="AM30" s="13" t="s">
        <v>540</v>
      </c>
      <c r="AN30" s="13" t="s">
        <v>540</v>
      </c>
      <c r="AO30" s="13" t="s">
        <v>540</v>
      </c>
      <c r="AP30" s="13" t="s">
        <v>540</v>
      </c>
      <c r="AQ30" s="13" t="s">
        <v>540</v>
      </c>
      <c r="AR30" s="13" t="s">
        <v>540</v>
      </c>
      <c r="AS30" s="13" t="s">
        <v>540</v>
      </c>
      <c r="AT30" s="13" t="s">
        <v>540</v>
      </c>
      <c r="AU30" s="13" t="s">
        <v>540</v>
      </c>
      <c r="AV30" s="13" t="s">
        <v>540</v>
      </c>
      <c r="AW30" s="13" t="s">
        <v>540</v>
      </c>
      <c r="AX30" s="13" t="s">
        <v>540</v>
      </c>
      <c r="AY30" s="13" t="s">
        <v>540</v>
      </c>
      <c r="AZ30" s="13" t="s">
        <v>540</v>
      </c>
      <c r="BA30" s="13" t="s">
        <v>540</v>
      </c>
      <c r="BB30" s="13" t="s">
        <v>540</v>
      </c>
      <c r="BC30" s="13" t="s">
        <v>540</v>
      </c>
      <c r="BD30" s="13" t="s">
        <v>540</v>
      </c>
      <c r="BE30" s="13" t="s">
        <v>540</v>
      </c>
      <c r="BF30" s="13" t="s">
        <v>540</v>
      </c>
      <c r="BG30" s="13" t="s">
        <v>540</v>
      </c>
      <c r="BH30" s="13" t="s">
        <v>540</v>
      </c>
      <c r="BI30" s="13" t="s">
        <v>540</v>
      </c>
      <c r="BJ30" s="13" t="s">
        <v>540</v>
      </c>
      <c r="BK30" s="13" t="s">
        <v>540</v>
      </c>
      <c r="BL30" s="13" t="s">
        <v>540</v>
      </c>
      <c r="BM30" s="13" t="s">
        <v>540</v>
      </c>
      <c r="BN30" s="13" t="s">
        <v>540</v>
      </c>
      <c r="BO30" s="13" t="s">
        <v>540</v>
      </c>
      <c r="BP30" s="13" t="s">
        <v>540</v>
      </c>
      <c r="BQ30" s="13" t="s">
        <v>540</v>
      </c>
      <c r="BR30" s="13" t="s">
        <v>540</v>
      </c>
      <c r="BS30" s="13" t="s">
        <v>540</v>
      </c>
      <c r="BT30" s="13" t="s">
        <v>540</v>
      </c>
      <c r="BU30" s="13" t="s">
        <v>540</v>
      </c>
      <c r="BV30" s="13" t="s">
        <v>540</v>
      </c>
      <c r="BW30" s="13" t="s">
        <v>540</v>
      </c>
      <c r="BX30" s="13" t="s">
        <v>540</v>
      </c>
      <c r="BY30" s="13" t="s">
        <v>540</v>
      </c>
      <c r="BZ30" s="13" t="s">
        <v>540</v>
      </c>
      <c r="CA30" s="13" t="s">
        <v>540</v>
      </c>
      <c r="CB30" s="13" t="s">
        <v>540</v>
      </c>
      <c r="CC30" s="13" t="s">
        <v>540</v>
      </c>
      <c r="CD30" s="13" t="s">
        <v>540</v>
      </c>
      <c r="CE30" s="13" t="s">
        <v>540</v>
      </c>
      <c r="CF30" s="13" t="s">
        <v>540</v>
      </c>
      <c r="CG30" s="13" t="s">
        <v>540</v>
      </c>
      <c r="CH30" s="13" t="s">
        <v>540</v>
      </c>
    </row>
    <row r="31" spans="1:86" x14ac:dyDescent="0.3">
      <c r="A31" s="13">
        <f t="shared" si="0"/>
        <v>29</v>
      </c>
      <c r="B31" s="13" t="s">
        <v>270</v>
      </c>
      <c r="C31" s="13" t="s">
        <v>193</v>
      </c>
      <c r="D31" s="13" t="s">
        <v>540</v>
      </c>
      <c r="E31" s="13" t="s">
        <v>540</v>
      </c>
      <c r="F31" s="13" t="s">
        <v>540</v>
      </c>
      <c r="G31" s="13" t="s">
        <v>540</v>
      </c>
      <c r="H31" s="13" t="s">
        <v>540</v>
      </c>
      <c r="I31" s="13" t="s">
        <v>540</v>
      </c>
      <c r="J31" s="13" t="s">
        <v>540</v>
      </c>
      <c r="K31" s="13" t="s">
        <v>540</v>
      </c>
      <c r="L31" s="13" t="s">
        <v>540</v>
      </c>
      <c r="M31" s="13" t="s">
        <v>540</v>
      </c>
      <c r="N31" s="13" t="s">
        <v>540</v>
      </c>
      <c r="O31" s="13" t="s">
        <v>540</v>
      </c>
      <c r="P31" s="13" t="s">
        <v>540</v>
      </c>
      <c r="Q31" s="13" t="s">
        <v>540</v>
      </c>
      <c r="R31" s="13" t="s">
        <v>540</v>
      </c>
      <c r="S31" s="13" t="s">
        <v>540</v>
      </c>
      <c r="T31" s="13" t="s">
        <v>540</v>
      </c>
      <c r="U31" s="13" t="s">
        <v>540</v>
      </c>
      <c r="V31" s="13" t="s">
        <v>540</v>
      </c>
      <c r="W31" s="13" t="s">
        <v>540</v>
      </c>
      <c r="X31" s="13" t="s">
        <v>540</v>
      </c>
      <c r="Y31" s="13" t="s">
        <v>540</v>
      </c>
      <c r="Z31" s="13" t="s">
        <v>540</v>
      </c>
      <c r="AA31" s="13" t="s">
        <v>540</v>
      </c>
      <c r="AB31" s="13" t="s">
        <v>540</v>
      </c>
      <c r="AC31" s="13" t="s">
        <v>540</v>
      </c>
      <c r="AD31" s="13" t="s">
        <v>540</v>
      </c>
      <c r="AE31" s="13" t="s">
        <v>540</v>
      </c>
      <c r="AF31" s="13" t="s">
        <v>540</v>
      </c>
      <c r="AG31" s="13" t="s">
        <v>540</v>
      </c>
      <c r="AH31" s="13" t="s">
        <v>540</v>
      </c>
      <c r="AI31" s="13" t="s">
        <v>540</v>
      </c>
      <c r="AJ31" s="13" t="s">
        <v>540</v>
      </c>
      <c r="AK31" s="13" t="s">
        <v>540</v>
      </c>
      <c r="AL31" s="13" t="s">
        <v>540</v>
      </c>
      <c r="AM31" s="13" t="s">
        <v>540</v>
      </c>
      <c r="AN31" s="13" t="s">
        <v>540</v>
      </c>
      <c r="AO31" s="13" t="s">
        <v>540</v>
      </c>
      <c r="AP31" s="13" t="s">
        <v>540</v>
      </c>
      <c r="AQ31" s="13" t="s">
        <v>540</v>
      </c>
      <c r="AR31" s="13" t="s">
        <v>540</v>
      </c>
      <c r="AS31" s="13" t="s">
        <v>540</v>
      </c>
      <c r="AT31" s="13" t="s">
        <v>540</v>
      </c>
      <c r="AU31" s="13" t="s">
        <v>540</v>
      </c>
      <c r="AV31" s="13" t="s">
        <v>540</v>
      </c>
      <c r="AW31" s="13" t="s">
        <v>540</v>
      </c>
      <c r="AX31" s="13" t="s">
        <v>540</v>
      </c>
      <c r="AY31" s="13" t="s">
        <v>540</v>
      </c>
      <c r="AZ31" s="13" t="s">
        <v>540</v>
      </c>
      <c r="BA31" s="13" t="s">
        <v>540</v>
      </c>
      <c r="BB31" s="13" t="s">
        <v>540</v>
      </c>
      <c r="BC31" s="13" t="s">
        <v>540</v>
      </c>
      <c r="BD31" s="13" t="s">
        <v>540</v>
      </c>
      <c r="BE31" s="13" t="s">
        <v>540</v>
      </c>
      <c r="BF31" s="13" t="s">
        <v>540</v>
      </c>
      <c r="BG31" s="13" t="s">
        <v>540</v>
      </c>
      <c r="BH31" s="13" t="s">
        <v>540</v>
      </c>
      <c r="BI31" s="13" t="s">
        <v>540</v>
      </c>
      <c r="BJ31" s="13" t="s">
        <v>540</v>
      </c>
      <c r="BK31" s="13" t="s">
        <v>540</v>
      </c>
      <c r="BL31" s="13" t="s">
        <v>540</v>
      </c>
      <c r="BM31" s="13" t="s">
        <v>540</v>
      </c>
      <c r="BN31" s="13" t="s">
        <v>540</v>
      </c>
      <c r="BO31" s="13" t="s">
        <v>540</v>
      </c>
      <c r="BP31" s="13" t="s">
        <v>540</v>
      </c>
      <c r="BQ31" s="13" t="s">
        <v>540</v>
      </c>
      <c r="BR31" s="13" t="s">
        <v>540</v>
      </c>
      <c r="BS31" s="13" t="s">
        <v>540</v>
      </c>
      <c r="BT31" s="13" t="s">
        <v>540</v>
      </c>
      <c r="BU31" s="13" t="s">
        <v>540</v>
      </c>
      <c r="BV31" s="13" t="s">
        <v>540</v>
      </c>
      <c r="BW31" s="13" t="s">
        <v>540</v>
      </c>
      <c r="BX31" s="13" t="s">
        <v>540</v>
      </c>
      <c r="BY31" s="13" t="s">
        <v>540</v>
      </c>
      <c r="BZ31" s="13" t="s">
        <v>540</v>
      </c>
      <c r="CA31" s="13" t="s">
        <v>540</v>
      </c>
      <c r="CB31" s="13" t="s">
        <v>540</v>
      </c>
      <c r="CC31" s="13" t="s">
        <v>540</v>
      </c>
      <c r="CD31" s="13" t="s">
        <v>540</v>
      </c>
      <c r="CE31" s="13" t="s">
        <v>540</v>
      </c>
      <c r="CF31" s="13" t="s">
        <v>540</v>
      </c>
      <c r="CG31" s="13" t="s">
        <v>540</v>
      </c>
      <c r="CH31" s="13" t="s">
        <v>540</v>
      </c>
    </row>
    <row r="32" spans="1:86" ht="28.8" x14ac:dyDescent="0.3">
      <c r="A32" s="13">
        <f t="shared" si="0"/>
        <v>30</v>
      </c>
      <c r="B32" s="13" t="s">
        <v>270</v>
      </c>
      <c r="C32" s="13" t="s">
        <v>194</v>
      </c>
      <c r="D32" s="13" t="s">
        <v>540</v>
      </c>
      <c r="E32" s="13" t="s">
        <v>540</v>
      </c>
      <c r="F32" s="13" t="s">
        <v>540</v>
      </c>
      <c r="G32" s="13" t="s">
        <v>540</v>
      </c>
      <c r="H32" s="13" t="s">
        <v>540</v>
      </c>
      <c r="I32" s="13" t="s">
        <v>540</v>
      </c>
      <c r="J32" s="13" t="s">
        <v>540</v>
      </c>
      <c r="K32" s="13" t="s">
        <v>540</v>
      </c>
      <c r="L32" s="13" t="s">
        <v>540</v>
      </c>
      <c r="M32" s="13" t="s">
        <v>540</v>
      </c>
      <c r="N32" s="13" t="s">
        <v>540</v>
      </c>
      <c r="O32" s="13" t="s">
        <v>540</v>
      </c>
      <c r="P32" s="13" t="s">
        <v>540</v>
      </c>
      <c r="Q32" s="13" t="s">
        <v>540</v>
      </c>
      <c r="R32" s="13" t="s">
        <v>540</v>
      </c>
      <c r="S32" s="13" t="s">
        <v>540</v>
      </c>
      <c r="T32" s="13" t="s">
        <v>540</v>
      </c>
      <c r="U32" s="13" t="s">
        <v>540</v>
      </c>
      <c r="V32" s="13" t="s">
        <v>540</v>
      </c>
      <c r="W32" s="13" t="s">
        <v>540</v>
      </c>
      <c r="X32" s="13" t="s">
        <v>540</v>
      </c>
      <c r="Y32" s="13" t="s">
        <v>540</v>
      </c>
      <c r="Z32" s="13" t="s">
        <v>540</v>
      </c>
      <c r="AA32" s="13" t="s">
        <v>540</v>
      </c>
      <c r="AB32" s="13" t="s">
        <v>540</v>
      </c>
      <c r="AC32" s="13" t="s">
        <v>540</v>
      </c>
      <c r="AD32" s="13" t="s">
        <v>540</v>
      </c>
      <c r="AE32" s="13" t="s">
        <v>540</v>
      </c>
      <c r="AF32" s="13" t="s">
        <v>540</v>
      </c>
      <c r="AG32" s="13" t="s">
        <v>540</v>
      </c>
      <c r="AH32" s="13" t="s">
        <v>540</v>
      </c>
      <c r="AI32" s="13" t="s">
        <v>540</v>
      </c>
      <c r="AJ32" s="13" t="s">
        <v>540</v>
      </c>
      <c r="AK32" s="13" t="s">
        <v>540</v>
      </c>
      <c r="AL32" s="13" t="s">
        <v>540</v>
      </c>
      <c r="AM32" s="13" t="s">
        <v>540</v>
      </c>
      <c r="AN32" s="13" t="s">
        <v>540</v>
      </c>
      <c r="AO32" s="13" t="s">
        <v>540</v>
      </c>
      <c r="AP32" s="13" t="s">
        <v>540</v>
      </c>
      <c r="AQ32" s="13" t="s">
        <v>540</v>
      </c>
      <c r="AR32" s="13" t="s">
        <v>540</v>
      </c>
      <c r="AS32" s="13" t="s">
        <v>540</v>
      </c>
      <c r="AT32" s="13" t="s">
        <v>540</v>
      </c>
      <c r="AU32" s="13" t="s">
        <v>540</v>
      </c>
      <c r="AV32" s="13" t="s">
        <v>540</v>
      </c>
      <c r="AW32" s="13" t="s">
        <v>540</v>
      </c>
      <c r="AX32" s="13" t="s">
        <v>540</v>
      </c>
      <c r="AY32" s="13" t="s">
        <v>540</v>
      </c>
      <c r="AZ32" s="13" t="s">
        <v>540</v>
      </c>
      <c r="BA32" s="13" t="s">
        <v>540</v>
      </c>
      <c r="BB32" s="13" t="s">
        <v>540</v>
      </c>
      <c r="BC32" s="13" t="s">
        <v>540</v>
      </c>
      <c r="BD32" s="13" t="s">
        <v>540</v>
      </c>
      <c r="BE32" s="13" t="s">
        <v>540</v>
      </c>
      <c r="BF32" s="13" t="s">
        <v>540</v>
      </c>
      <c r="BG32" s="13" t="s">
        <v>540</v>
      </c>
      <c r="BH32" s="13" t="s">
        <v>540</v>
      </c>
      <c r="BI32" s="13" t="s">
        <v>540</v>
      </c>
      <c r="BJ32" s="13" t="s">
        <v>540</v>
      </c>
      <c r="BK32" s="13" t="s">
        <v>540</v>
      </c>
      <c r="BL32" s="13" t="s">
        <v>540</v>
      </c>
      <c r="BM32" s="13" t="s">
        <v>540</v>
      </c>
      <c r="BN32" s="13" t="s">
        <v>540</v>
      </c>
      <c r="BO32" s="13" t="s">
        <v>540</v>
      </c>
      <c r="BP32" s="13" t="s">
        <v>540</v>
      </c>
      <c r="BQ32" s="13" t="s">
        <v>540</v>
      </c>
      <c r="BR32" s="13" t="s">
        <v>540</v>
      </c>
      <c r="BS32" s="13" t="s">
        <v>540</v>
      </c>
      <c r="BT32" s="13" t="s">
        <v>540</v>
      </c>
      <c r="BU32" s="13" t="s">
        <v>540</v>
      </c>
      <c r="BV32" s="13" t="s">
        <v>540</v>
      </c>
      <c r="BW32" s="13" t="s">
        <v>540</v>
      </c>
      <c r="BX32" s="13" t="s">
        <v>540</v>
      </c>
      <c r="BY32" s="13" t="s">
        <v>540</v>
      </c>
      <c r="BZ32" s="13" t="s">
        <v>540</v>
      </c>
      <c r="CA32" s="13" t="s">
        <v>540</v>
      </c>
      <c r="CB32" s="13" t="s">
        <v>540</v>
      </c>
      <c r="CC32" s="13" t="s">
        <v>540</v>
      </c>
      <c r="CD32" s="13" t="s">
        <v>540</v>
      </c>
      <c r="CE32" s="13" t="s">
        <v>540</v>
      </c>
      <c r="CF32" s="13" t="s">
        <v>540</v>
      </c>
      <c r="CG32" s="13" t="s">
        <v>540</v>
      </c>
      <c r="CH32" s="13" t="s">
        <v>540</v>
      </c>
    </row>
    <row r="33" spans="1:86" x14ac:dyDescent="0.3">
      <c r="A33" s="13">
        <f t="shared" si="0"/>
        <v>31</v>
      </c>
      <c r="B33" s="13" t="s">
        <v>270</v>
      </c>
      <c r="C33" s="13" t="s">
        <v>195</v>
      </c>
      <c r="D33" s="13" t="s">
        <v>540</v>
      </c>
      <c r="E33" s="13" t="s">
        <v>540</v>
      </c>
      <c r="F33" s="13" t="s">
        <v>540</v>
      </c>
      <c r="G33" s="13" t="s">
        <v>540</v>
      </c>
      <c r="H33" s="13" t="s">
        <v>540</v>
      </c>
      <c r="I33" s="13" t="s">
        <v>540</v>
      </c>
      <c r="J33" s="13" t="s">
        <v>540</v>
      </c>
      <c r="K33" s="13" t="s">
        <v>540</v>
      </c>
      <c r="L33" s="13" t="s">
        <v>540</v>
      </c>
      <c r="M33" s="13" t="s">
        <v>540</v>
      </c>
      <c r="N33" s="13" t="s">
        <v>540</v>
      </c>
      <c r="O33" s="13" t="s">
        <v>540</v>
      </c>
      <c r="P33" s="13" t="s">
        <v>540</v>
      </c>
      <c r="Q33" s="13" t="s">
        <v>540</v>
      </c>
      <c r="R33" s="13" t="s">
        <v>540</v>
      </c>
      <c r="S33" s="13" t="s">
        <v>540</v>
      </c>
      <c r="T33" s="13" t="s">
        <v>540</v>
      </c>
      <c r="U33" s="13" t="s">
        <v>540</v>
      </c>
      <c r="V33" s="13" t="s">
        <v>540</v>
      </c>
      <c r="W33" s="13" t="s">
        <v>540</v>
      </c>
      <c r="X33" s="13" t="s">
        <v>540</v>
      </c>
      <c r="Y33" s="13" t="s">
        <v>540</v>
      </c>
      <c r="Z33" s="13" t="s">
        <v>540</v>
      </c>
      <c r="AA33" s="13" t="s">
        <v>540</v>
      </c>
      <c r="AB33" s="13" t="s">
        <v>540</v>
      </c>
      <c r="AC33" s="13" t="s">
        <v>540</v>
      </c>
      <c r="AD33" s="13" t="s">
        <v>540</v>
      </c>
      <c r="AE33" s="13" t="s">
        <v>540</v>
      </c>
      <c r="AF33" s="13" t="s">
        <v>540</v>
      </c>
      <c r="AG33" s="13" t="s">
        <v>540</v>
      </c>
      <c r="AH33" s="13" t="s">
        <v>540</v>
      </c>
      <c r="AI33" s="13" t="s">
        <v>540</v>
      </c>
      <c r="AJ33" s="13" t="s">
        <v>540</v>
      </c>
      <c r="AK33" s="13" t="s">
        <v>540</v>
      </c>
      <c r="AL33" s="13" t="s">
        <v>540</v>
      </c>
      <c r="AM33" s="13" t="s">
        <v>540</v>
      </c>
      <c r="AN33" s="13" t="s">
        <v>540</v>
      </c>
      <c r="AO33" s="13" t="s">
        <v>540</v>
      </c>
      <c r="AP33" s="13" t="s">
        <v>540</v>
      </c>
      <c r="AQ33" s="13" t="s">
        <v>540</v>
      </c>
      <c r="AR33" s="13" t="s">
        <v>540</v>
      </c>
      <c r="AS33" s="13" t="s">
        <v>540</v>
      </c>
      <c r="AT33" s="13" t="s">
        <v>540</v>
      </c>
      <c r="AU33" s="13" t="s">
        <v>540</v>
      </c>
      <c r="AV33" s="13" t="s">
        <v>540</v>
      </c>
      <c r="AW33" s="13" t="s">
        <v>540</v>
      </c>
      <c r="AX33" s="13" t="s">
        <v>540</v>
      </c>
      <c r="AY33" s="13" t="s">
        <v>540</v>
      </c>
      <c r="AZ33" s="13" t="s">
        <v>540</v>
      </c>
      <c r="BA33" s="13" t="s">
        <v>540</v>
      </c>
      <c r="BB33" s="13" t="s">
        <v>540</v>
      </c>
      <c r="BC33" s="13" t="s">
        <v>540</v>
      </c>
      <c r="BD33" s="13" t="s">
        <v>540</v>
      </c>
      <c r="BE33" s="13" t="s">
        <v>540</v>
      </c>
      <c r="BF33" s="13" t="s">
        <v>540</v>
      </c>
      <c r="BG33" s="13" t="s">
        <v>540</v>
      </c>
      <c r="BH33" s="13" t="s">
        <v>540</v>
      </c>
      <c r="BI33" s="13" t="s">
        <v>540</v>
      </c>
      <c r="BJ33" s="13" t="s">
        <v>540</v>
      </c>
      <c r="BK33" s="13" t="s">
        <v>540</v>
      </c>
      <c r="BL33" s="13" t="s">
        <v>540</v>
      </c>
      <c r="BM33" s="13" t="s">
        <v>540</v>
      </c>
      <c r="BN33" s="13" t="s">
        <v>540</v>
      </c>
      <c r="BO33" s="13" t="s">
        <v>540</v>
      </c>
      <c r="BP33" s="13" t="s">
        <v>540</v>
      </c>
      <c r="BQ33" s="13" t="s">
        <v>540</v>
      </c>
      <c r="BR33" s="13" t="s">
        <v>540</v>
      </c>
      <c r="BS33" s="13" t="s">
        <v>540</v>
      </c>
      <c r="BT33" s="13" t="s">
        <v>540</v>
      </c>
      <c r="BU33" s="13" t="s">
        <v>540</v>
      </c>
      <c r="BV33" s="13" t="s">
        <v>540</v>
      </c>
      <c r="BW33" s="13" t="s">
        <v>540</v>
      </c>
      <c r="BX33" s="13" t="s">
        <v>540</v>
      </c>
      <c r="BY33" s="13" t="s">
        <v>540</v>
      </c>
      <c r="BZ33" s="13" t="s">
        <v>540</v>
      </c>
      <c r="CA33" s="13" t="s">
        <v>540</v>
      </c>
      <c r="CB33" s="13" t="s">
        <v>540</v>
      </c>
      <c r="CC33" s="13" t="s">
        <v>540</v>
      </c>
      <c r="CD33" s="13" t="s">
        <v>540</v>
      </c>
      <c r="CE33" s="13" t="s">
        <v>540</v>
      </c>
      <c r="CF33" s="13" t="s">
        <v>540</v>
      </c>
      <c r="CG33" s="13" t="s">
        <v>540</v>
      </c>
      <c r="CH33" s="13" t="s">
        <v>540</v>
      </c>
    </row>
    <row r="34" spans="1:86" x14ac:dyDescent="0.3">
      <c r="A34" s="13">
        <f t="shared" si="0"/>
        <v>32</v>
      </c>
      <c r="B34" s="13" t="s">
        <v>270</v>
      </c>
      <c r="C34" s="13" t="s">
        <v>196</v>
      </c>
      <c r="D34" s="13" t="s">
        <v>540</v>
      </c>
      <c r="E34" s="13" t="s">
        <v>540</v>
      </c>
      <c r="F34" s="13" t="s">
        <v>540</v>
      </c>
      <c r="G34" s="13" t="s">
        <v>540</v>
      </c>
      <c r="H34" s="13" t="s">
        <v>540</v>
      </c>
      <c r="I34" s="13" t="s">
        <v>540</v>
      </c>
      <c r="J34" s="13" t="s">
        <v>540</v>
      </c>
      <c r="K34" s="13" t="s">
        <v>540</v>
      </c>
      <c r="L34" s="13" t="s">
        <v>540</v>
      </c>
      <c r="M34" s="13" t="s">
        <v>540</v>
      </c>
      <c r="N34" s="13" t="s">
        <v>540</v>
      </c>
      <c r="O34" s="13" t="s">
        <v>540</v>
      </c>
      <c r="P34" s="13" t="s">
        <v>540</v>
      </c>
      <c r="Q34" s="13" t="s">
        <v>540</v>
      </c>
      <c r="R34" s="13" t="s">
        <v>540</v>
      </c>
      <c r="S34" s="13" t="s">
        <v>540</v>
      </c>
      <c r="T34" s="13" t="s">
        <v>540</v>
      </c>
      <c r="U34" s="13" t="s">
        <v>540</v>
      </c>
      <c r="V34" s="13" t="s">
        <v>540</v>
      </c>
      <c r="W34" s="13" t="s">
        <v>540</v>
      </c>
      <c r="X34" s="13" t="s">
        <v>540</v>
      </c>
      <c r="Y34" s="13" t="s">
        <v>540</v>
      </c>
      <c r="Z34" s="13" t="s">
        <v>540</v>
      </c>
      <c r="AA34" s="13" t="s">
        <v>540</v>
      </c>
      <c r="AB34" s="13" t="s">
        <v>540</v>
      </c>
      <c r="AC34" s="13" t="s">
        <v>540</v>
      </c>
      <c r="AD34" s="13" t="s">
        <v>540</v>
      </c>
      <c r="AE34" s="13" t="s">
        <v>540</v>
      </c>
      <c r="AF34" s="13" t="s">
        <v>540</v>
      </c>
      <c r="AG34" s="13" t="s">
        <v>540</v>
      </c>
      <c r="AH34" s="13" t="s">
        <v>540</v>
      </c>
      <c r="AI34" s="13" t="s">
        <v>540</v>
      </c>
      <c r="AJ34" s="13" t="s">
        <v>540</v>
      </c>
      <c r="AK34" s="13" t="s">
        <v>540</v>
      </c>
      <c r="AL34" s="13" t="s">
        <v>540</v>
      </c>
      <c r="AM34" s="13" t="s">
        <v>540</v>
      </c>
      <c r="AN34" s="13" t="s">
        <v>540</v>
      </c>
      <c r="AO34" s="13" t="s">
        <v>540</v>
      </c>
      <c r="AP34" s="13" t="s">
        <v>540</v>
      </c>
      <c r="AQ34" s="13" t="s">
        <v>540</v>
      </c>
      <c r="AR34" s="13" t="s">
        <v>540</v>
      </c>
      <c r="AS34" s="13" t="s">
        <v>540</v>
      </c>
      <c r="AT34" s="13" t="s">
        <v>540</v>
      </c>
      <c r="AU34" s="13" t="s">
        <v>540</v>
      </c>
      <c r="AV34" s="13" t="s">
        <v>540</v>
      </c>
      <c r="AW34" s="13" t="s">
        <v>540</v>
      </c>
      <c r="AX34" s="13" t="s">
        <v>540</v>
      </c>
      <c r="AY34" s="13" t="s">
        <v>540</v>
      </c>
      <c r="AZ34" s="13" t="s">
        <v>540</v>
      </c>
      <c r="BA34" s="13" t="s">
        <v>540</v>
      </c>
      <c r="BB34" s="13" t="s">
        <v>540</v>
      </c>
      <c r="BC34" s="13" t="s">
        <v>540</v>
      </c>
      <c r="BD34" s="13" t="s">
        <v>540</v>
      </c>
      <c r="BE34" s="13" t="s">
        <v>540</v>
      </c>
      <c r="BF34" s="13" t="s">
        <v>540</v>
      </c>
      <c r="BG34" s="13" t="s">
        <v>540</v>
      </c>
      <c r="BH34" s="13" t="s">
        <v>540</v>
      </c>
      <c r="BI34" s="13" t="s">
        <v>540</v>
      </c>
      <c r="BJ34" s="13" t="s">
        <v>540</v>
      </c>
      <c r="BK34" s="13" t="s">
        <v>540</v>
      </c>
      <c r="BL34" s="13" t="s">
        <v>540</v>
      </c>
      <c r="BM34" s="13" t="s">
        <v>540</v>
      </c>
      <c r="BN34" s="13" t="s">
        <v>540</v>
      </c>
      <c r="BO34" s="13" t="s">
        <v>540</v>
      </c>
      <c r="BP34" s="13" t="s">
        <v>540</v>
      </c>
      <c r="BQ34" s="13" t="s">
        <v>540</v>
      </c>
      <c r="BR34" s="13" t="s">
        <v>540</v>
      </c>
      <c r="BS34" s="13" t="s">
        <v>540</v>
      </c>
      <c r="BT34" s="13" t="s">
        <v>540</v>
      </c>
      <c r="BU34" s="13" t="s">
        <v>540</v>
      </c>
      <c r="BV34" s="13" t="s">
        <v>540</v>
      </c>
      <c r="BW34" s="13" t="s">
        <v>540</v>
      </c>
      <c r="BX34" s="13" t="s">
        <v>540</v>
      </c>
      <c r="BY34" s="13" t="s">
        <v>540</v>
      </c>
      <c r="BZ34" s="13" t="s">
        <v>540</v>
      </c>
      <c r="CA34" s="13" t="s">
        <v>540</v>
      </c>
      <c r="CB34" s="13" t="s">
        <v>540</v>
      </c>
      <c r="CC34" s="13" t="s">
        <v>540</v>
      </c>
      <c r="CD34" s="13" t="s">
        <v>540</v>
      </c>
      <c r="CE34" s="13" t="s">
        <v>540</v>
      </c>
      <c r="CF34" s="13" t="s">
        <v>540</v>
      </c>
      <c r="CG34" s="13" t="s">
        <v>540</v>
      </c>
      <c r="CH34" s="13" t="s">
        <v>540</v>
      </c>
    </row>
    <row r="35" spans="1:86" x14ac:dyDescent="0.3">
      <c r="A35" s="13">
        <f t="shared" si="0"/>
        <v>33</v>
      </c>
      <c r="B35" s="13" t="s">
        <v>270</v>
      </c>
      <c r="C35" s="13" t="s">
        <v>197</v>
      </c>
      <c r="D35" s="13" t="s">
        <v>540</v>
      </c>
      <c r="E35" s="13" t="s">
        <v>540</v>
      </c>
      <c r="F35" s="13" t="s">
        <v>540</v>
      </c>
      <c r="G35" s="13" t="s">
        <v>540</v>
      </c>
      <c r="H35" s="13" t="s">
        <v>540</v>
      </c>
      <c r="I35" s="13" t="s">
        <v>540</v>
      </c>
      <c r="J35" s="13" t="s">
        <v>540</v>
      </c>
      <c r="K35" s="13" t="s">
        <v>540</v>
      </c>
      <c r="L35" s="13" t="s">
        <v>540</v>
      </c>
      <c r="M35" s="13" t="s">
        <v>540</v>
      </c>
      <c r="N35" s="13" t="s">
        <v>540</v>
      </c>
      <c r="O35" s="13" t="s">
        <v>540</v>
      </c>
      <c r="P35" s="13" t="s">
        <v>540</v>
      </c>
      <c r="Q35" s="13" t="s">
        <v>540</v>
      </c>
      <c r="R35" s="13" t="s">
        <v>540</v>
      </c>
      <c r="S35" s="13" t="s">
        <v>540</v>
      </c>
      <c r="T35" s="13" t="s">
        <v>540</v>
      </c>
      <c r="U35" s="13" t="s">
        <v>540</v>
      </c>
      <c r="V35" s="13" t="s">
        <v>540</v>
      </c>
      <c r="W35" s="13" t="s">
        <v>540</v>
      </c>
      <c r="X35" s="13" t="s">
        <v>540</v>
      </c>
      <c r="Y35" s="13" t="s">
        <v>540</v>
      </c>
      <c r="Z35" s="13" t="s">
        <v>540</v>
      </c>
      <c r="AA35" s="13" t="s">
        <v>540</v>
      </c>
      <c r="AB35" s="13" t="s">
        <v>540</v>
      </c>
      <c r="AC35" s="13" t="s">
        <v>540</v>
      </c>
      <c r="AD35" s="13" t="s">
        <v>540</v>
      </c>
      <c r="AE35" s="13" t="s">
        <v>540</v>
      </c>
      <c r="AF35" s="13" t="s">
        <v>540</v>
      </c>
      <c r="AG35" s="13" t="s">
        <v>540</v>
      </c>
      <c r="AH35" s="13" t="s">
        <v>540</v>
      </c>
      <c r="AI35" s="13" t="s">
        <v>540</v>
      </c>
      <c r="AJ35" s="13" t="s">
        <v>540</v>
      </c>
      <c r="AK35" s="13" t="s">
        <v>540</v>
      </c>
      <c r="AL35" s="13" t="s">
        <v>540</v>
      </c>
      <c r="AM35" s="13" t="s">
        <v>540</v>
      </c>
      <c r="AN35" s="13" t="s">
        <v>540</v>
      </c>
      <c r="AO35" s="13" t="s">
        <v>540</v>
      </c>
      <c r="AP35" s="13" t="s">
        <v>540</v>
      </c>
      <c r="AQ35" s="13" t="s">
        <v>540</v>
      </c>
      <c r="AR35" s="13" t="s">
        <v>540</v>
      </c>
      <c r="AS35" s="13" t="s">
        <v>540</v>
      </c>
      <c r="AT35" s="13" t="s">
        <v>540</v>
      </c>
      <c r="AU35" s="13" t="s">
        <v>540</v>
      </c>
      <c r="AV35" s="13" t="s">
        <v>540</v>
      </c>
      <c r="AW35" s="13" t="s">
        <v>540</v>
      </c>
      <c r="AX35" s="13" t="s">
        <v>540</v>
      </c>
      <c r="AY35" s="13" t="s">
        <v>540</v>
      </c>
      <c r="AZ35" s="13" t="s">
        <v>540</v>
      </c>
      <c r="BA35" s="13" t="s">
        <v>540</v>
      </c>
      <c r="BB35" s="13" t="s">
        <v>540</v>
      </c>
      <c r="BC35" s="13" t="s">
        <v>540</v>
      </c>
      <c r="BD35" s="13" t="s">
        <v>540</v>
      </c>
      <c r="BE35" s="13" t="s">
        <v>540</v>
      </c>
      <c r="BF35" s="13" t="s">
        <v>540</v>
      </c>
      <c r="BG35" s="13" t="s">
        <v>540</v>
      </c>
      <c r="BH35" s="13" t="s">
        <v>540</v>
      </c>
      <c r="BI35" s="13" t="s">
        <v>540</v>
      </c>
      <c r="BJ35" s="13" t="s">
        <v>540</v>
      </c>
      <c r="BK35" s="13" t="s">
        <v>540</v>
      </c>
      <c r="BL35" s="13" t="s">
        <v>540</v>
      </c>
      <c r="BM35" s="13" t="s">
        <v>540</v>
      </c>
      <c r="BN35" s="13" t="s">
        <v>540</v>
      </c>
      <c r="BO35" s="13" t="s">
        <v>540</v>
      </c>
      <c r="BP35" s="13" t="s">
        <v>540</v>
      </c>
      <c r="BQ35" s="13" t="s">
        <v>540</v>
      </c>
      <c r="BR35" s="13" t="s">
        <v>540</v>
      </c>
      <c r="BS35" s="13" t="s">
        <v>540</v>
      </c>
      <c r="BT35" s="13" t="s">
        <v>540</v>
      </c>
      <c r="BU35" s="13" t="s">
        <v>540</v>
      </c>
      <c r="BV35" s="13" t="s">
        <v>540</v>
      </c>
      <c r="BW35" s="13" t="s">
        <v>540</v>
      </c>
      <c r="BX35" s="13" t="s">
        <v>540</v>
      </c>
      <c r="BY35" s="13" t="s">
        <v>540</v>
      </c>
      <c r="BZ35" s="13" t="s">
        <v>540</v>
      </c>
      <c r="CA35" s="13" t="s">
        <v>540</v>
      </c>
      <c r="CB35" s="13" t="s">
        <v>540</v>
      </c>
      <c r="CC35" s="13" t="s">
        <v>540</v>
      </c>
      <c r="CD35" s="13" t="s">
        <v>540</v>
      </c>
      <c r="CE35" s="13" t="s">
        <v>540</v>
      </c>
      <c r="CF35" s="13" t="s">
        <v>540</v>
      </c>
      <c r="CG35" s="13" t="s">
        <v>540</v>
      </c>
      <c r="CH35" s="13" t="s">
        <v>540</v>
      </c>
    </row>
    <row r="36" spans="1:86" ht="28.8" x14ac:dyDescent="0.3">
      <c r="A36" s="13">
        <f t="shared" si="0"/>
        <v>34</v>
      </c>
      <c r="B36" s="13" t="s">
        <v>270</v>
      </c>
      <c r="C36" s="13" t="s">
        <v>198</v>
      </c>
      <c r="D36" s="13" t="s">
        <v>540</v>
      </c>
      <c r="E36" s="13" t="s">
        <v>540</v>
      </c>
      <c r="F36" s="13" t="s">
        <v>540</v>
      </c>
      <c r="G36" s="13" t="s">
        <v>540</v>
      </c>
      <c r="H36" s="13" t="s">
        <v>540</v>
      </c>
      <c r="I36" s="13" t="s">
        <v>540</v>
      </c>
      <c r="J36" s="13" t="s">
        <v>540</v>
      </c>
      <c r="K36" s="13" t="s">
        <v>540</v>
      </c>
      <c r="L36" s="13" t="s">
        <v>540</v>
      </c>
      <c r="M36" s="13" t="s">
        <v>540</v>
      </c>
      <c r="N36" s="13" t="s">
        <v>540</v>
      </c>
      <c r="O36" s="13" t="s">
        <v>540</v>
      </c>
      <c r="P36" s="13" t="s">
        <v>540</v>
      </c>
      <c r="Q36" s="13" t="s">
        <v>540</v>
      </c>
      <c r="R36" s="13" t="s">
        <v>540</v>
      </c>
      <c r="S36" s="13" t="s">
        <v>540</v>
      </c>
      <c r="T36" s="13" t="s">
        <v>540</v>
      </c>
      <c r="U36" s="13" t="s">
        <v>540</v>
      </c>
      <c r="V36" s="13" t="s">
        <v>540</v>
      </c>
      <c r="W36" s="13" t="s">
        <v>540</v>
      </c>
      <c r="X36" s="13" t="s">
        <v>540</v>
      </c>
      <c r="Y36" s="13" t="s">
        <v>540</v>
      </c>
      <c r="Z36" s="13" t="s">
        <v>540</v>
      </c>
      <c r="AA36" s="13" t="s">
        <v>540</v>
      </c>
      <c r="AB36" s="13" t="s">
        <v>540</v>
      </c>
      <c r="AC36" s="13" t="s">
        <v>540</v>
      </c>
      <c r="AD36" s="13" t="s">
        <v>540</v>
      </c>
      <c r="AE36" s="13" t="s">
        <v>540</v>
      </c>
      <c r="AF36" s="13" t="s">
        <v>540</v>
      </c>
      <c r="AG36" s="13" t="s">
        <v>540</v>
      </c>
      <c r="AH36" s="13" t="s">
        <v>540</v>
      </c>
      <c r="AI36" s="13" t="s">
        <v>540</v>
      </c>
      <c r="AJ36" s="13" t="s">
        <v>540</v>
      </c>
      <c r="AK36" s="13" t="s">
        <v>540</v>
      </c>
      <c r="AL36" s="13" t="s">
        <v>540</v>
      </c>
      <c r="AM36" s="13" t="s">
        <v>540</v>
      </c>
      <c r="AN36" s="13" t="s">
        <v>540</v>
      </c>
      <c r="AO36" s="13" t="s">
        <v>540</v>
      </c>
      <c r="AP36" s="13" t="s">
        <v>540</v>
      </c>
      <c r="AQ36" s="13" t="s">
        <v>540</v>
      </c>
      <c r="AR36" s="13" t="s">
        <v>540</v>
      </c>
      <c r="AS36" s="13" t="s">
        <v>540</v>
      </c>
      <c r="AT36" s="13" t="s">
        <v>540</v>
      </c>
      <c r="AU36" s="13" t="s">
        <v>540</v>
      </c>
      <c r="AV36" s="13" t="s">
        <v>540</v>
      </c>
      <c r="AW36" s="13" t="s">
        <v>540</v>
      </c>
      <c r="AX36" s="13" t="s">
        <v>540</v>
      </c>
      <c r="AY36" s="13" t="s">
        <v>540</v>
      </c>
      <c r="AZ36" s="13" t="s">
        <v>540</v>
      </c>
      <c r="BA36" s="13" t="s">
        <v>540</v>
      </c>
      <c r="BB36" s="13" t="s">
        <v>540</v>
      </c>
      <c r="BC36" s="13" t="s">
        <v>540</v>
      </c>
      <c r="BD36" s="13" t="s">
        <v>540</v>
      </c>
      <c r="BE36" s="13" t="s">
        <v>540</v>
      </c>
      <c r="BF36" s="13" t="s">
        <v>540</v>
      </c>
      <c r="BG36" s="13" t="s">
        <v>540</v>
      </c>
      <c r="BH36" s="13" t="s">
        <v>540</v>
      </c>
      <c r="BI36" s="13" t="s">
        <v>540</v>
      </c>
      <c r="BJ36" s="13" t="s">
        <v>540</v>
      </c>
      <c r="BK36" s="13" t="s">
        <v>540</v>
      </c>
      <c r="BL36" s="13" t="s">
        <v>540</v>
      </c>
      <c r="BM36" s="13" t="s">
        <v>540</v>
      </c>
      <c r="BN36" s="13" t="s">
        <v>540</v>
      </c>
      <c r="BO36" s="13" t="s">
        <v>540</v>
      </c>
      <c r="BP36" s="13" t="s">
        <v>540</v>
      </c>
      <c r="BQ36" s="13" t="s">
        <v>540</v>
      </c>
      <c r="BR36" s="13" t="s">
        <v>540</v>
      </c>
      <c r="BS36" s="13" t="s">
        <v>540</v>
      </c>
      <c r="BT36" s="13" t="s">
        <v>540</v>
      </c>
      <c r="BU36" s="13" t="s">
        <v>540</v>
      </c>
      <c r="BV36" s="13" t="s">
        <v>540</v>
      </c>
      <c r="BW36" s="13" t="s">
        <v>540</v>
      </c>
      <c r="BX36" s="13" t="s">
        <v>540</v>
      </c>
      <c r="BY36" s="13" t="s">
        <v>540</v>
      </c>
      <c r="BZ36" s="13" t="s">
        <v>540</v>
      </c>
      <c r="CA36" s="13" t="s">
        <v>540</v>
      </c>
      <c r="CB36" s="13" t="s">
        <v>540</v>
      </c>
      <c r="CC36" s="13" t="s">
        <v>540</v>
      </c>
      <c r="CD36" s="13" t="s">
        <v>540</v>
      </c>
      <c r="CE36" s="13" t="s">
        <v>540</v>
      </c>
      <c r="CF36" s="13" t="s">
        <v>540</v>
      </c>
      <c r="CG36" s="13" t="s">
        <v>540</v>
      </c>
      <c r="CH36" s="13" t="s">
        <v>540</v>
      </c>
    </row>
  </sheetData>
  <hyperlinks>
    <hyperlink ref="H2" r:id="rId1" xr:uid="{96C2783B-406C-4BF3-B9EB-F1610745AE64}"/>
    <hyperlink ref="H3" r:id="rId2" xr:uid="{BB739EB3-2058-45DD-88B4-AD608C599DEE}"/>
    <hyperlink ref="H5" r:id="rId3" xr:uid="{75A4F111-26D8-4D53-A652-A3C4DD525827}"/>
    <hyperlink ref="CH6" r:id="rId4" xr:uid="{58DFC045-C9EE-4ED5-8B2E-EAE1A92BE839}"/>
    <hyperlink ref="H6" r:id="rId5" display="mailto:pgr@celloworld.com" xr:uid="{4F59850D-3547-464A-ADBB-CE1DE29B6523}"/>
    <hyperlink ref="H7" r:id="rId6" xr:uid="{4317B625-2B02-4A1C-AEAB-F06A722AB9A5}"/>
    <hyperlink ref="H9" r:id="rId7" display="vjain@sperryplast.com" xr:uid="{BD5A4EE5-48E1-49EB-9472-66F8667157BB}"/>
    <hyperlink ref="H11" r:id="rId8" xr:uid="{8859DAD0-D4F6-46AB-800F-C8EC112E1203}"/>
    <hyperlink ref="H13" r:id="rId9" xr:uid="{F12DF96E-0F0E-4FF7-ACE7-8793BC177ADC}"/>
    <hyperlink ref="H15" r:id="rId10" display="gs@financialsupermarket.in" xr:uid="{EC469A4A-7BF0-458A-91CD-D4851DB05E0E}"/>
    <hyperlink ref="CH17" r:id="rId11" xr:uid="{807B37BF-9C45-40A9-A1CD-96D33BC8141D}"/>
    <hyperlink ref="H18" r:id="rId12" xr:uid="{8C81725A-5B45-41EA-9210-6E61230E4ACE}"/>
    <hyperlink ref="H19" r:id="rId13" xr:uid="{77B55D48-D7A4-4BE3-A22B-E7C2B8261AB7}"/>
    <hyperlink ref="H20" r:id="rId14" xr:uid="{8C122AC1-89F2-4D45-A4B5-93C5B35CD3CD}"/>
    <hyperlink ref="H28" r:id="rId15" xr:uid="{E29BEC93-1EE8-4F8D-A196-EE038B897B98}"/>
    <hyperlink ref="CH2" r:id="rId16" xr:uid="{F8453DA4-F627-42FD-80D3-B6C579A8DC2B}"/>
    <hyperlink ref="H8" r:id="rId17" xr:uid="{5E37773E-1770-45BD-B9BF-610F6C3EC90D}"/>
    <hyperlink ref="H26" r:id="rId18" xr:uid="{3144E52E-BE3F-4CBC-B94C-A0FE4D036C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JEAP Admin</dc:creator>
  <cp:lastModifiedBy>JEAP Admin</cp:lastModifiedBy>
  <dcterms:created xsi:type="dcterms:W3CDTF">2026-01-01T05:07:44Z</dcterms:created>
  <dcterms:modified xsi:type="dcterms:W3CDTF">2026-01-02T10:41:44Z</dcterms:modified>
</cp:coreProperties>
</file>